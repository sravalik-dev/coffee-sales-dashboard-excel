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rava\Downloads\"/>
    </mc:Choice>
  </mc:AlternateContent>
  <xr:revisionPtr revIDLastSave="0" documentId="13_ncr:1_{AEC81AAE-149F-4C2E-AB1B-2D7B56B8F43C}" xr6:coauthVersionLast="47" xr6:coauthVersionMax="47" xr10:uidLastSave="{00000000-0000-0000-0000-000000000000}"/>
  <bookViews>
    <workbookView xWindow="-108" yWindow="-108" windowWidth="23256" windowHeight="12456" xr2:uid="{00000000-000D-0000-FFFF-FFFF00000000}"/>
  </bookViews>
  <sheets>
    <sheet name="Dashboard" sheetId="23" r:id="rId1"/>
    <sheet name="Sheet1" sheetId="24" r:id="rId2"/>
    <sheet name="TotalSales" sheetId="18" r:id="rId3"/>
    <sheet name="CountryBarChart" sheetId="21" r:id="rId4"/>
    <sheet name="Top5Customers" sheetId="22" r:id="rId5"/>
    <sheet name="orders" sheetId="17" r:id="rId6"/>
    <sheet name="customers" sheetId="13" r:id="rId7"/>
    <sheet name="products" sheetId="2" r:id="rId8"/>
  </sheets>
  <definedNames>
    <definedName name="_xlnm._FilterDatabase" localSheetId="5" hidden="1">orders!$A$1:$M$1001</definedName>
    <definedName name="_xlnm._FilterDatabase" localSheetId="7"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4" l="1"/>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D4" i="24"/>
</calcChain>
</file>

<file path=xl/sharedStrings.xml><?xml version="1.0" encoding="utf-8"?>
<sst xmlns="http://schemas.openxmlformats.org/spreadsheetml/2006/main" count="11127" uniqueCount="6223">
  <si>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</si>
  <si>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</si>
  <si>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</si>
  <si>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</si>
  <si>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</si>
  <si>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</si>
  <si>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</si>
  <si>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</si>
  <si>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</si>
  <si>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</si>
  <si>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</si>
  <si>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</si>
  <si>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</si>
  <si>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</si>
  <si>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</si>
  <si>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</si>
  <si>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</si>
  <si>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</si>
  <si>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</si>
  <si>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</si>
  <si>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</si>
  <si>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</si>
  <si>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</si>
  <si>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</si>
  <si>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</si>
  <si>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</si>
  <si>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</si>
  <si>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</si>
  <si>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</si>
  <si>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</si>
  <si>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</si>
  <si>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</si>
  <si>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</si>
  <si>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</si>
  <si>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</si>
  <si>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</si>
  <si>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</si>
  <si>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</si>
  <si>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</si>
  <si>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</si>
  <si>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</si>
  <si>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</si>
  <si>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</si>
  <si>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</si>
  <si>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</si>
  <si>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</si>
  <si>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</si>
  <si>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</si>
  <si>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</si>
  <si>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</si>
  <si>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</si>
  <si>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</si>
  <si>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</si>
  <si>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</si>
  <si>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</si>
  <si>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</si>
  <si>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</si>
  <si>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</si>
  <si>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</si>
  <si>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</si>
  <si>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</si>
  <si>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</si>
  <si>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</si>
  <si>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</si>
  <si>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</si>
  <si>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</si>
  <si>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</si>
  <si>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</si>
  <si>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</si>
  <si>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</si>
  <si>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</si>
  <si>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</si>
  <si>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</si>
  <si>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</si>
  <si>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</si>
  <si>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</si>
  <si>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</si>
  <si>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</si>
  <si>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</si>
  <si>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</si>
  <si>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</si>
  <si>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</si>
  <si>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</si>
  <si>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</si>
  <si>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</si>
  <si>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</si>
  <si>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</si>
  <si>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</si>
  <si>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</si>
  <si>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</si>
  <si>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</si>
  <si>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</si>
  <si>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</si>
  <si>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</si>
  <si>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</si>
  <si>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</si>
  <si>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</si>
  <si>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</si>
  <si>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</si>
  <si>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</si>
  <si>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</si>
  <si>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</si>
  <si>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</si>
  <si>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</si>
  <si>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</si>
  <si>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</si>
  <si>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</si>
  <si>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</si>
  <si>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</si>
  <si>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</si>
  <si>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</si>
  <si>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</si>
  <si>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</si>
  <si>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</si>
  <si>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</si>
  <si>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</si>
  <si>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</si>
  <si>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</si>
  <si>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</si>
  <si>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</si>
  <si>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</si>
  <si>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</si>
  <si>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</si>
  <si>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</si>
  <si>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</si>
  <si>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</si>
  <si>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</si>
  <si>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</si>
  <si>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</si>
  <si>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</si>
  <si>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</si>
  <si>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</si>
  <si>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</si>
  <si>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</si>
  <si>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</si>
  <si>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</si>
  <si>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</si>
  <si>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</si>
  <si>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</si>
  <si>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</si>
  <si>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</si>
  <si>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</si>
  <si>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</si>
  <si>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</si>
  <si>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</si>
  <si>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</si>
  <si>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</si>
  <si>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</si>
  <si>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</si>
  <si>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</si>
  <si>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</si>
  <si>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</si>
  <si>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</si>
  <si>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</si>
  <si>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</si>
  <si>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</si>
  <si>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</si>
  <si>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</si>
  <si>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</si>
  <si>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</si>
  <si>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</si>
  <si>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</si>
  <si>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</si>
  <si>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</si>
  <si>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</si>
  <si>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</si>
  <si>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</si>
  <si>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</si>
  <si>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</si>
  <si>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</si>
  <si>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</si>
  <si>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</si>
  <si>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</si>
  <si>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</si>
  <si>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</si>
  <si>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</si>
  <si>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</si>
  <si>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</si>
  <si>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</si>
  <si>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</si>
  <si>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</si>
  <si>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</si>
  <si>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</si>
  <si>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</si>
  <si>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</si>
  <si>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</si>
  <si>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</si>
  <si>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</si>
  <si>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</si>
  <si>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</si>
  <si>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</si>
  <si>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</si>
  <si>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</si>
  <si>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</si>
  <si>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</si>
  <si>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</si>
  <si>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</si>
  <si>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</si>
  <si>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</si>
  <si>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</si>
  <si>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</si>
  <si>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</si>
  <si>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</si>
  <si>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</si>
  <si>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</si>
  <si>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</si>
  <si>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</si>
  <si>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</si>
  <si>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</si>
  <si>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</si>
  <si>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</si>
  <si>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</si>
  <si>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</si>
  <si>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</si>
  <si>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</si>
  <si>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</si>
  <si>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</si>
  <si>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</si>
  <si>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</si>
  <si>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</si>
  <si>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</si>
  <si>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</si>
  <si>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</si>
  <si>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</si>
  <si>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</si>
  <si>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</si>
  <si>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</si>
  <si>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</si>
  <si>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</si>
  <si>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</si>
  <si>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</si>
  <si>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</si>
  <si>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</si>
  <si>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</si>
  <si>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</si>
  <si>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</si>
  <si>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</si>
  <si>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</si>
  <si>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</si>
  <si>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</si>
  <si>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</si>
  <si>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</si>
  <si>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</si>
  <si>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</si>
  <si>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</si>
  <si>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</si>
  <si>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</si>
  <si>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</si>
  <si>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</si>
  <si>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</si>
  <si>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</si>
  <si>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</si>
  <si>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</si>
  <si>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</si>
  <si>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</si>
  <si>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</si>
  <si>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</si>
  <si>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</si>
  <si>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</si>
  <si>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</si>
  <si>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</si>
  <si>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</si>
  <si>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</si>
  <si>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</si>
  <si>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</si>
  <si>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</si>
  <si>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</si>
  <si>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</si>
  <si>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</si>
  <si>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</si>
  <si>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</si>
  <si>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</si>
  <si>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</si>
  <si>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</si>
  <si>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</si>
  <si>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</si>
  <si>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</si>
  <si>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</si>
  <si>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</si>
  <si>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</si>
  <si>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</si>
  <si>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</si>
  <si>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</si>
  <si>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</si>
  <si>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</si>
  <si>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</si>
  <si>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</si>
  <si>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</si>
  <si>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</si>
  <si>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</si>
  <si>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</si>
  <si>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</si>
  <si>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</si>
  <si>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</si>
  <si>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</si>
  <si>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</si>
  <si>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</si>
  <si>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</si>
  <si>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</si>
  <si>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</si>
  <si>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</si>
  <si>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</si>
  <si>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</si>
  <si>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</si>
  <si>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</si>
  <si>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</si>
  <si>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</si>
  <si>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</si>
  <si>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</si>
  <si>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</si>
  <si>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</si>
  <si>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</si>
  <si>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</si>
  <si>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</si>
  <si>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</si>
  <si>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</si>
  <si>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</si>
  <si>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</si>
  <si>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</si>
  <si>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</si>
  <si>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</si>
  <si>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</si>
  <si>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</si>
  <si>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</si>
  <si>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</si>
  <si>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</si>
  <si>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</si>
  <si>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</si>
  <si>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</si>
  <si>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</si>
  <si>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</si>
  <si>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</si>
  <si>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</si>
  <si>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</si>
  <si>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</si>
  <si>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</si>
  <si>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</si>
  <si>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</si>
  <si>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</si>
  <si>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</si>
  <si>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</si>
  <si>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</si>
  <si>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</si>
  <si>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</si>
  <si>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</si>
  <si>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</si>
  <si>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</si>
  <si>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</si>
  <si>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</si>
  <si>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</si>
  <si>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</si>
  <si>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</si>
  <si>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</si>
  <si>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</si>
  <si>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</si>
  <si>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</si>
  <si>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</si>
  <si>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</si>
  <si>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</si>
  <si>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</si>
  <si>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</si>
  <si>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</si>
  <si>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</si>
  <si>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</si>
  <si>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</si>
  <si>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</si>
  <si>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</si>
  <si>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</si>
  <si>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</si>
  <si>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</si>
  <si>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</si>
  <si>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</si>
  <si>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</si>
  <si>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</si>
  <si>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</si>
  <si>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</si>
  <si>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</si>
  <si>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</si>
  <si>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</si>
  <si>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</si>
  <si>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</si>
  <si>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</si>
  <si>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</si>
  <si>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</si>
  <si>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</si>
  <si>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</si>
  <si>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</si>
  <si>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</si>
  <si>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</si>
  <si>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</si>
  <si>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</si>
  <si>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</si>
  <si>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</si>
  <si>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</si>
  <si>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</si>
  <si>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</si>
  <si>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</si>
  <si>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</si>
  <si>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</si>
  <si>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</si>
  <si>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</si>
  <si>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</si>
  <si>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</si>
  <si>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</si>
  <si>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</si>
  <si>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</si>
  <si>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</si>
  <si>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</si>
  <si>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</si>
  <si>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</si>
  <si>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</si>
  <si>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</si>
  <si>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</si>
  <si>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</si>
  <si>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</si>
  <si>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</si>
  <si>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</si>
  <si>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</si>
  <si>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</si>
  <si>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</si>
  <si>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</si>
  <si>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</si>
  <si>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</si>
  <si>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</si>
  <si>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</si>
  <si>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</si>
  <si>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</si>
  <si>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</si>
  <si>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</si>
  <si>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</si>
  <si>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</si>
  <si>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</si>
  <si>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</si>
  <si>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</si>
  <si>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</si>
  <si>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</si>
  <si>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</si>
  <si>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</si>
  <si>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</si>
  <si>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</si>
  <si>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</si>
  <si>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</si>
  <si>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</si>
  <si>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</si>
  <si>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</si>
  <si>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</si>
  <si>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</si>
  <si>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</si>
  <si>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</si>
  <si>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</si>
  <si>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</si>
  <si>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</si>
  <si>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</si>
  <si>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</si>
  <si>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</si>
  <si>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</si>
  <si>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</si>
  <si>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</si>
  <si>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</si>
  <si>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</si>
  <si>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</si>
  <si>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</si>
  <si>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</si>
  <si>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</si>
  <si>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</si>
  <si>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</si>
  <si>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</si>
  <si>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</si>
  <si>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</si>
  <si>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</si>
  <si>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</si>
  <si>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</si>
  <si>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</si>
  <si>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</si>
  <si>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</si>
  <si>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</si>
  <si>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</si>
  <si>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</si>
  <si>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</si>
  <si>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</si>
  <si>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</si>
  <si>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</si>
  <si>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</si>
  <si>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</si>
  <si>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</si>
  <si>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</si>
  <si>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</si>
  <si>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</si>
  <si>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</si>
  <si>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</si>
  <si>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</si>
  <si>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</si>
  <si>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</si>
  <si>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</si>
  <si>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</si>
  <si>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</si>
  <si>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</si>
  <si>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</si>
  <si>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</si>
  <si>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</si>
  <si>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</si>
  <si>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</si>
  <si>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</si>
  <si>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</si>
  <si>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</si>
  <si>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</si>
  <si>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</si>
  <si>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</si>
  <si>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</si>
  <si>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</si>
  <si>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</si>
  <si>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</si>
  <si>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</si>
  <si>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</si>
  <si>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</si>
  <si>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</si>
  <si>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</si>
  <si>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</si>
  <si>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</si>
  <si>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</si>
  <si>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</si>
  <si>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</si>
  <si>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</si>
  <si>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</si>
  <si>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</si>
  <si>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</si>
  <si>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</si>
  <si>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</si>
  <si>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</si>
  <si>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</si>
  <si>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</si>
  <si>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</si>
  <si>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</si>
  <si>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</si>
  <si>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</si>
  <si>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</si>
  <si>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</si>
  <si>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</si>
  <si>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</si>
  <si>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</si>
  <si>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</si>
  <si>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</si>
  <si>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</si>
  <si>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</si>
  <si>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</si>
  <si>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</si>
  <si>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</si>
  <si>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</si>
  <si>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</si>
  <si>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</si>
  <si>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</si>
  <si>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</si>
  <si>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</si>
  <si>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</si>
  <si>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</si>
  <si>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</si>
  <si>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</si>
  <si>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</si>
  <si>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</si>
  <si>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</si>
  <si>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</si>
  <si>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</si>
  <si>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</si>
  <si>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</si>
  <si>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</si>
  <si>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</si>
  <si>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</si>
  <si>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</si>
  <si>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</si>
  <si>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</si>
  <si>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</si>
  <si>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</si>
  <si>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</si>
  <si>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</si>
  <si>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</si>
  <si>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</si>
  <si>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</si>
  <si>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</si>
  <si>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</si>
  <si>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</si>
  <si>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</si>
  <si>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</si>
  <si>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</si>
  <si>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</si>
  <si>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</si>
  <si>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</si>
  <si>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</si>
  <si>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</si>
  <si>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</si>
  <si>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</si>
  <si>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</si>
  <si>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</si>
  <si>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</si>
  <si>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</si>
  <si>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</si>
  <si>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</si>
  <si>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</si>
  <si>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</si>
  <si>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</si>
  <si>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</si>
  <si>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</si>
  <si>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</si>
  <si>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</si>
  <si>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</si>
  <si>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</si>
  <si>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</si>
  <si>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</si>
  <si>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</si>
  <si>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</si>
  <si>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</si>
  <si>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</si>
  <si>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</si>
  <si>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</si>
  <si>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</si>
  <si>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</si>
  <si>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</si>
  <si>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</si>
  <si>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</si>
  <si>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</si>
  <si>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</si>
  <si>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</si>
  <si>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</si>
  <si>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</si>
  <si>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</si>
  <si>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</si>
  <si>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</si>
  <si>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</si>
  <si>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</si>
  <si>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</si>
  <si>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</si>
  <si>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</si>
  <si>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</si>
  <si>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</si>
  <si>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</si>
  <si>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</si>
  <si>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</si>
  <si>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</si>
  <si>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</si>
  <si>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</si>
  <si>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</si>
  <si>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</si>
  <si>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</si>
  <si>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</si>
  <si>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</si>
  <si>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</si>
  <si>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</si>
  <si>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</si>
  <si>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</si>
  <si>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</si>
  <si>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</si>
  <si>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</si>
  <si>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</si>
  <si>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</si>
  <si>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</si>
  <si>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</si>
  <si>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</si>
  <si>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</si>
  <si>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</si>
  <si>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</si>
  <si>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</si>
  <si>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</si>
  <si>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</si>
  <si>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</si>
  <si>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</si>
  <si>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</si>
  <si>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</si>
  <si>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</si>
  <si>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</si>
  <si>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</si>
  <si>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</si>
  <si>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</si>
  <si>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</si>
  <si>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</si>
  <si>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</si>
  <si>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</si>
  <si>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</si>
  <si>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</si>
  <si>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</si>
  <si>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</si>
  <si>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</si>
  <si>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</si>
  <si>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</si>
  <si>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</si>
  <si>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</si>
  <si>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</si>
  <si>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</si>
  <si>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</si>
  <si>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</si>
  <si>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</si>
  <si>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</si>
  <si>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</si>
  <si>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</si>
  <si>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</si>
  <si>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</si>
  <si>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</si>
  <si>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</si>
  <si>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</si>
  <si>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</si>
  <si>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</si>
  <si>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</si>
  <si>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</si>
  <si>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</si>
  <si>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</si>
  <si>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</si>
  <si>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</si>
  <si>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</si>
  <si>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</si>
  <si>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</si>
  <si>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</si>
  <si>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</si>
  <si>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</si>
  <si>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</si>
  <si>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</si>
  <si>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</si>
  <si>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</si>
  <si>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</si>
  <si>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</si>
  <si>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</si>
  <si>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</si>
  <si>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</si>
  <si>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</si>
  <si>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</si>
  <si>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</si>
  <si>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</si>
  <si>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</si>
  <si>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</si>
  <si>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</si>
  <si>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</si>
  <si>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</si>
  <si>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</si>
  <si>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</si>
  <si>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</si>
  <si>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</si>
  <si>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</si>
  <si>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</si>
  <si>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</si>
  <si>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</si>
  <si>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</si>
  <si>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</si>
  <si>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</si>
  <si>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</si>
  <si>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</si>
  <si>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</si>
  <si>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</si>
  <si>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</si>
  <si>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</si>
  <si>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</si>
  <si>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</si>
  <si>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</si>
  <si>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</si>
  <si>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</si>
  <si>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</si>
  <si>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</si>
  <si>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</si>
  <si>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</si>
  <si>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</si>
  <si>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</si>
  <si>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</si>
  <si>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</si>
  <si>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</si>
  <si>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</si>
  <si>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</si>
  <si>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</si>
  <si>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</si>
  <si>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</si>
  <si>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</si>
  <si>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</si>
  <si>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</si>
  <si>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</si>
  <si>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</si>
  <si>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</si>
  <si>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</si>
  <si>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</si>
  <si>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</si>
  <si>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</si>
  <si>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</si>
  <si>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</si>
  <si>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</si>
  <si>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</si>
  <si>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</si>
  <si>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</si>
  <si>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</si>
  <si>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</si>
  <si>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</si>
  <si>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</si>
  <si>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</si>
  <si>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</si>
  <si>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</si>
  <si>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</si>
  <si>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</si>
  <si>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</si>
  <si>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</si>
  <si>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</si>
  <si>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</si>
  <si>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</si>
  <si>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</si>
  <si>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</si>
  <si>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</si>
  <si>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</si>
  <si>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</si>
  <si>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</si>
  <si>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</si>
  <si>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</si>
  <si>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</si>
  <si>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</si>
  <si>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</si>
  <si>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</si>
  <si>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</si>
  <si>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</si>
  <si>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</si>
  <si>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</si>
  <si>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</si>
  <si>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</si>
  <si>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</si>
  <si>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</si>
  <si>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</si>
  <si>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</si>
  <si>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</si>
  <si>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</si>
  <si>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</si>
  <si>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</si>
  <si>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</si>
  <si>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</si>
  <si>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</si>
  <si>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</si>
  <si>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</si>
  <si>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</si>
  <si>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</si>
  <si>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</si>
  <si>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</si>
  <si>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</si>
  <si>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</si>
  <si>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</si>
  <si>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</si>
  <si>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</si>
  <si>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</si>
  <si>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</si>
  <si>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</si>
  <si>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</si>
  <si>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</si>
  <si>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</si>
  <si>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</si>
  <si>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</si>
  <si>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</si>
  <si>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</si>
  <si>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</si>
  <si>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</si>
  <si>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</si>
  <si>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</si>
  <si>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</si>
  <si>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</si>
  <si>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</si>
  <si>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</si>
  <si>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</si>
  <si>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</si>
  <si>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</si>
  <si>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</si>
  <si>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</si>
  <si>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</si>
  <si>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</si>
  <si>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</si>
  <si>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</si>
  <si>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</si>
  <si>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</si>
  <si>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</si>
  <si>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</si>
  <si>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</si>
  <si>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</si>
  <si>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</si>
  <si>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</si>
  <si>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</si>
  <si>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</si>
  <si>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</si>
  <si>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</si>
  <si>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</si>
  <si>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</si>
  <si>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</si>
  <si>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</si>
  <si>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</si>
  <si>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</si>
  <si>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</si>
  <si>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</si>
  <si>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</si>
  <si>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</si>
  <si>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</si>
  <si>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</si>
  <si>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</si>
  <si>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</si>
  <si>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</si>
  <si>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</si>
  <si>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</si>
  <si>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</si>
  <si>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</si>
  <si>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</si>
  <si>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</si>
  <si>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</si>
  <si>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</si>
  <si>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</si>
  <si>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</si>
  <si>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</si>
  <si>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</si>
  <si>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</si>
  <si>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</si>
  <si>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</si>
  <si>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</si>
  <si>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</si>
  <si>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</si>
  <si>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</si>
  <si>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</si>
  <si>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</si>
  <si>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</si>
  <si>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</si>
  <si>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</si>
  <si>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</si>
  <si>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</si>
  <si>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</si>
  <si>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</si>
  <si>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</si>
  <si>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</si>
  <si>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</si>
  <si>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</si>
  <si>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</si>
  <si>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</si>
  <si>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</si>
  <si>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</si>
  <si>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</si>
  <si>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</si>
  <si>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</si>
  <si>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</si>
  <si>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</si>
  <si>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</si>
  <si>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</si>
  <si>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</si>
  <si>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</si>
  <si>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</si>
  <si>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</si>
  <si>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</si>
  <si>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</si>
  <si>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</si>
  <si>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</si>
  <si>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</si>
  <si>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</si>
  <si>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</si>
  <si>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</si>
  <si>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</si>
  <si>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</si>
  <si>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</si>
  <si>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</si>
  <si>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</si>
  <si>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</si>
  <si>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</si>
  <si>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</si>
  <si>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</si>
  <si>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</si>
  <si>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</si>
  <si>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</si>
  <si>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</si>
  <si>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</si>
  <si>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</si>
  <si>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</si>
  <si>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</si>
  <si>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</si>
  <si>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</si>
  <si>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</si>
  <si>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</si>
  <si>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</si>
  <si>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</si>
  <si>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</si>
  <si>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</si>
  <si>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</si>
  <si>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</si>
  <si>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</si>
  <si>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</si>
  <si>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</si>
  <si>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</si>
  <si>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</si>
  <si>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</si>
  <si>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</si>
  <si>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</si>
  <si>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</si>
  <si>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</si>
  <si>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</si>
  <si>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</si>
  <si>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</si>
  <si>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</si>
  <si>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</si>
  <si>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</si>
  <si>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</si>
  <si>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</si>
  <si>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</si>
  <si>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</si>
  <si>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</si>
  <si>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</si>
  <si>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</si>
  <si>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</si>
  <si>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</si>
  <si>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</si>
  <si>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</si>
  <si>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</si>
  <si>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</si>
  <si>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</si>
  <si>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</si>
  <si>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</si>
  <si>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</si>
  <si>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</si>
  <si>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</si>
  <si>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</si>
  <si>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</si>
  <si>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</si>
  <si>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</si>
  <si>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</si>
  <si>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</si>
  <si>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</si>
  <si>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</si>
  <si>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</si>
  <si>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</si>
  <si>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</si>
  <si>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</si>
  <si>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</si>
  <si>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</si>
  <si>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</si>
  <si>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</si>
  <si>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</si>
  <si>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</si>
  <si>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</si>
  <si>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</si>
  <si>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</si>
  <si>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</si>
  <si>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</si>
  <si>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</si>
  <si>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</si>
  <si>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</si>
  <si>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</si>
  <si>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</si>
  <si>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</si>
  <si>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</si>
  <si>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</si>
  <si>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</si>
  <si>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</si>
  <si>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</si>
  <si>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</si>
  <si>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</si>
  <si>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</si>
  <si>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</si>
  <si>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</si>
  <si>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</si>
  <si>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</si>
  <si>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</si>
  <si>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</si>
  <si>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</si>
  <si>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</si>
  <si>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</si>
  <si>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</si>
  <si>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</si>
  <si>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</si>
  <si>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</si>
  <si>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</si>
  <si>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</si>
  <si>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</si>
  <si>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</si>
  <si>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</si>
  <si>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</si>
  <si>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</si>
  <si>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</si>
  <si>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</si>
  <si>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</si>
  <si>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</si>
  <si>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</si>
  <si>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</si>
  <si>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</si>
  <si>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</si>
  <si>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</si>
  <si>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</si>
  <si>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</si>
  <si>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</si>
  <si>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</si>
  <si>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</si>
  <si>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</si>
  <si>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</si>
  <si>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</si>
  <si>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</si>
  <si>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</si>
  <si>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</si>
  <si>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</si>
  <si>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</si>
  <si>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</si>
  <si>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</si>
  <si>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</si>
  <si>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</si>
  <si>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</si>
  <si>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</si>
  <si>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</si>
  <si>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</si>
  <si>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</si>
  <si>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</si>
  <si>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</si>
  <si>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</si>
  <si>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</si>
  <si>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</si>
  <si>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</si>
  <si>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</si>
  <si>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</si>
  <si>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</si>
  <si>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</si>
  <si>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</si>
  <si>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</si>
  <si>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</si>
  <si>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</si>
  <si>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</si>
  <si>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</si>
  <si>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</si>
  <si>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</si>
  <si>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</si>
  <si>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</si>
  <si>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</si>
  <si>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</si>
  <si>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</si>
  <si>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</si>
  <si>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</si>
  <si>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</si>
  <si>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</si>
  <si>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</si>
  <si>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</si>
  <si>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</si>
  <si>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</si>
  <si>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</si>
  <si>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</si>
  <si>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</si>
  <si>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</si>
  <si>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</si>
  <si>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</si>
  <si>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</si>
  <si>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</si>
  <si>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</si>
  <si>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</si>
  <si>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</si>
  <si>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</si>
  <si>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</si>
  <si>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</si>
  <si>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</si>
  <si>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</si>
  <si>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</si>
  <si>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</si>
  <si>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</si>
  <si>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</si>
  <si>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</si>
  <si>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</si>
  <si>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</si>
  <si>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</si>
  <si>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</si>
  <si>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</si>
  <si>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</si>
  <si>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</si>
  <si>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</si>
  <si>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</si>
  <si>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</si>
  <si>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</si>
  <si>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</si>
  <si>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</si>
  <si>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</si>
  <si>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</si>
  <si>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</si>
  <si>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</si>
  <si>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</si>
  <si>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</si>
  <si>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</si>
  <si>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</si>
  <si>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</si>
  <si>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</si>
  <si>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</si>
  <si>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</si>
  <si>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</si>
  <si>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</si>
  <si>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</si>
  <si>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</si>
  <si>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</si>
  <si>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</si>
  <si>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</si>
  <si>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</si>
  <si>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</si>
  <si>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</si>
  <si>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</si>
  <si>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</si>
  <si>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</si>
  <si>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</si>
  <si>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</si>
  <si>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</si>
  <si>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</si>
  <si>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</si>
  <si>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</si>
  <si>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</si>
  <si>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</si>
  <si>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</si>
  <si>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</si>
  <si>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</si>
  <si>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</si>
  <si>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</si>
  <si>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</si>
  <si>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</si>
  <si>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</si>
  <si>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</si>
  <si>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</si>
  <si>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</si>
  <si>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</si>
  <si>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</si>
  <si>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</si>
  <si>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</si>
  <si>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</si>
  <si>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</si>
  <si>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</si>
  <si>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</si>
  <si>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</si>
  <si>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</si>
  <si>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</si>
  <si>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</si>
  <si>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</si>
  <si>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</si>
  <si>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</si>
  <si>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</si>
  <si>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</si>
  <si>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</si>
  <si>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</si>
  <si>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</si>
  <si>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</si>
  <si>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</si>
  <si>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</si>
  <si>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</si>
  <si>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</si>
  <si>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</si>
  <si>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</si>
  <si>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</si>
  <si>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</si>
  <si>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</si>
  <si>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</si>
  <si>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</si>
  <si>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</si>
  <si>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</si>
  <si>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</si>
  <si>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</si>
  <si>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</si>
  <si>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</si>
  <si>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</si>
  <si>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</si>
  <si>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</si>
  <si>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</si>
  <si>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</si>
  <si>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</si>
  <si>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</si>
  <si>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</si>
  <si>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</si>
  <si>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</si>
  <si>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</si>
  <si>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</si>
  <si>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</si>
  <si>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</si>
  <si>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</si>
  <si>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</si>
  <si>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</si>
  <si>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</si>
  <si>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</si>
  <si>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</si>
  <si>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</si>
  <si>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</si>
  <si>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</si>
  <si>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</si>
  <si>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</si>
  <si>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</si>
  <si>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</si>
  <si>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</si>
  <si>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</si>
  <si>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</si>
  <si>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</si>
  <si>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</si>
  <si>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</si>
  <si>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</si>
  <si>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</si>
  <si>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</si>
  <si>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</si>
  <si>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</si>
  <si>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</si>
  <si>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</si>
  <si>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</si>
  <si>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</si>
  <si>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</si>
  <si>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</si>
  <si>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</si>
  <si>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</si>
  <si>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</si>
  <si>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</si>
  <si>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</si>
  <si>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</si>
  <si>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</si>
  <si>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</si>
  <si>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</si>
  <si>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</si>
  <si>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</si>
  <si>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</si>
  <si>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</si>
  <si>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</si>
  <si>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</si>
  <si>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</si>
  <si>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</si>
  <si>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</si>
  <si>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</si>
  <si>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</si>
  <si>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</si>
  <si>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</si>
  <si>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</si>
  <si>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</si>
  <si>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</si>
  <si>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</si>
  <si>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</si>
  <si>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</si>
  <si>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</si>
  <si>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</si>
  <si>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</si>
  <si>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</si>
  <si>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</si>
  <si>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</si>
  <si>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</si>
  <si>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</si>
  <si>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</si>
  <si>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</si>
  <si>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</si>
  <si>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</si>
  <si>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</si>
  <si>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</si>
  <si>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</si>
  <si>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</si>
  <si>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</si>
  <si>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</si>
  <si>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</si>
  <si>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</si>
  <si>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</si>
  <si>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</si>
  <si>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</si>
  <si>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</si>
  <si>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</si>
  <si>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</si>
  <si>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</si>
  <si>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</si>
  <si>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</si>
  <si>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</si>
  <si>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</si>
  <si>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</si>
  <si>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</si>
  <si>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</si>
  <si>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</si>
  <si>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</si>
  <si>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</si>
  <si>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</si>
  <si>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</si>
  <si>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</si>
  <si>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</si>
  <si>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</si>
  <si>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</si>
  <si>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</si>
  <si>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</si>
  <si>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</si>
  <si>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</si>
  <si>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</si>
  <si>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</si>
  <si>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</si>
  <si>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</si>
  <si>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</si>
  <si>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</si>
  <si>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</si>
  <si>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</si>
  <si>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</si>
  <si>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</si>
  <si>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</si>
  <si>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</si>
  <si>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</si>
  <si>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</si>
  <si>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</si>
  <si>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</si>
  <si>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</si>
  <si>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</si>
  <si>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</si>
  <si>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</si>
  <si>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</si>
  <si>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</si>
  <si>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</si>
  <si>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</si>
  <si>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</si>
  <si>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</si>
  <si>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</si>
  <si>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</si>
  <si>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</si>
  <si>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</si>
  <si>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</si>
  <si>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</si>
  <si>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</si>
  <si>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</si>
  <si>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</si>
  <si>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</si>
  <si>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</si>
  <si>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</si>
  <si>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</si>
  <si>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</si>
  <si>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</si>
  <si>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</si>
  <si>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</si>
  <si>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</si>
  <si>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</si>
  <si>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</si>
  <si>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</si>
  <si>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</si>
  <si>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</si>
  <si>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</si>
  <si>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</si>
  <si>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</si>
  <si>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</si>
  <si>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</si>
  <si>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</si>
  <si>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</si>
  <si>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</si>
  <si>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</si>
  <si>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</si>
  <si>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</si>
  <si>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</si>
  <si>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</si>
  <si>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</si>
  <si>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</si>
  <si>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</si>
  <si>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</si>
  <si>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</si>
  <si>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</si>
  <si>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</si>
  <si>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</si>
  <si>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</si>
  <si>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</si>
  <si>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</si>
  <si>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</si>
  <si>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</si>
  <si>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</si>
  <si>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</si>
  <si>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</si>
  <si>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</si>
  <si>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</si>
  <si>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</si>
  <si>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</si>
  <si>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</si>
  <si>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</si>
  <si>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</si>
  <si>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</si>
  <si>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</si>
  <si>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</si>
  <si>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</si>
  <si>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</si>
  <si>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</si>
  <si>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</si>
  <si>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</si>
  <si>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</si>
  <si>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</si>
  <si>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</si>
  <si>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</si>
  <si>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</si>
  <si>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</si>
  <si>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</si>
  <si>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</si>
  <si>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</si>
  <si>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</si>
  <si>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</si>
  <si>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</si>
  <si>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</si>
  <si>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</si>
  <si>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</si>
  <si>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</si>
  <si>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</si>
  <si>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</si>
  <si>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</si>
  <si>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</si>
  <si>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</si>
  <si>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</si>
  <si>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</si>
  <si>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</si>
  <si>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</si>
  <si>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</si>
  <si>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</si>
  <si>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</si>
  <si>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</si>
  <si>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</si>
  <si>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</si>
  <si>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</si>
  <si>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</si>
  <si>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</si>
  <si>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</si>
  <si>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</si>
  <si>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</si>
  <si>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</si>
  <si>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</si>
  <si>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</si>
  <si>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</si>
  <si>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</si>
  <si>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</si>
  <si>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</si>
  <si>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</si>
  <si>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</si>
  <si>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</si>
  <si>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</si>
  <si>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</si>
  <si>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</si>
  <si>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</si>
  <si>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</si>
  <si>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</si>
  <si>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</si>
  <si>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</si>
  <si>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</si>
  <si>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</si>
  <si>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</si>
  <si>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</si>
  <si>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</si>
  <si>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</si>
  <si>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</si>
  <si>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</si>
  <si>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</si>
  <si>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</si>
  <si>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</si>
  <si>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</si>
  <si>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</si>
  <si>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</si>
  <si>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</si>
  <si>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</si>
  <si>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</si>
  <si>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</si>
  <si>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</si>
  <si>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</si>
  <si>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</si>
  <si>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</si>
  <si>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</si>
  <si>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</si>
  <si>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</si>
  <si>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</si>
  <si>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</si>
  <si>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</si>
  <si>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</si>
  <si>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</si>
  <si>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</si>
  <si>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</si>
  <si>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</si>
  <si>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</si>
  <si>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</si>
  <si>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</si>
  <si>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</si>
  <si>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</si>
  <si>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</si>
  <si>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</si>
  <si>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</si>
  <si>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</si>
  <si>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</si>
  <si>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</si>
  <si>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</si>
  <si>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</si>
  <si>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</si>
  <si>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</si>
  <si>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</si>
  <si>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</si>
  <si>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</si>
  <si>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</si>
  <si>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</si>
  <si>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</si>
  <si>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</si>
  <si>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</si>
  <si>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</si>
  <si>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</si>
  <si>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</si>
  <si>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</si>
  <si>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</si>
  <si>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</si>
  <si>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</si>
  <si>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</si>
  <si>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</si>
  <si>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</si>
  <si>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</si>
  <si>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</si>
  <si>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</si>
  <si>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</si>
  <si>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</si>
  <si>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</si>
  <si>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</si>
  <si>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</si>
  <si>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</si>
  <si>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</si>
  <si>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</si>
  <si>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</si>
  <si>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</si>
  <si>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</si>
  <si>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</si>
  <si>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</si>
  <si>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</si>
  <si>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</si>
  <si>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</si>
  <si>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</si>
  <si>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</si>
  <si>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</si>
  <si>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</si>
  <si>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</si>
  <si>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</si>
  <si>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</si>
  <si>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</si>
  <si>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</si>
  <si>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</si>
  <si>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</si>
  <si>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</si>
  <si>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</si>
  <si>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</si>
  <si>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</si>
  <si>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</si>
  <si>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</si>
  <si>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</si>
  <si>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</si>
  <si>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</si>
  <si>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</si>
  <si>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</si>
  <si>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</si>
  <si>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</si>
  <si>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</si>
  <si>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</si>
  <si>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</si>
  <si>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</si>
  <si>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</si>
  <si>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</si>
  <si>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</si>
  <si>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</si>
  <si>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</si>
  <si>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</si>
  <si>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</si>
  <si>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</si>
  <si>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</si>
  <si>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</si>
  <si>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</si>
  <si>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</si>
  <si>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</si>
  <si>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</si>
  <si>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</si>
  <si>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</si>
  <si>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</si>
  <si>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</si>
  <si>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</si>
  <si>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</si>
  <si>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</si>
  <si>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</si>
  <si>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</si>
  <si>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</si>
  <si>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</si>
  <si>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</si>
  <si>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</si>
  <si>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</si>
  <si>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</si>
  <si>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</si>
  <si>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</si>
  <si>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</si>
  <si>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</si>
  <si>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</si>
  <si>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</si>
  <si>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</si>
  <si>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</si>
  <si>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</si>
  <si>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</si>
  <si>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</si>
  <si>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</si>
  <si>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</si>
  <si>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</si>
  <si>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</si>
  <si>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</si>
  <si>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</si>
  <si>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</si>
  <si>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</si>
  <si>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</si>
  <si>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</si>
  <si>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</si>
  <si>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</si>
  <si>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</si>
  <si>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</si>
  <si>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</si>
  <si>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</si>
  <si>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</si>
  <si>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</si>
  <si>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</si>
  <si>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</si>
  <si>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</si>
  <si>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</si>
  <si>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</si>
  <si>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</si>
  <si>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</si>
  <si>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</si>
  <si>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</si>
  <si>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</si>
  <si>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</si>
  <si>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</si>
  <si>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</si>
  <si>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</si>
  <si>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</si>
  <si>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</si>
  <si>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</si>
  <si>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</si>
  <si>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</si>
  <si>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</si>
  <si>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</si>
  <si>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</si>
  <si>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</si>
  <si>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</si>
  <si>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</si>
  <si>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</si>
  <si>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</si>
  <si>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</si>
  <si>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</si>
  <si>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</si>
  <si>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</si>
  <si>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</si>
  <si>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</si>
  <si>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</si>
  <si>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</si>
  <si>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</si>
  <si>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</si>
  <si>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</si>
  <si>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</si>
  <si>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</si>
  <si>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</si>
  <si>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</si>
  <si>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</si>
  <si>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</si>
  <si>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</si>
  <si>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</si>
  <si>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</si>
  <si>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</si>
  <si>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</si>
  <si>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</si>
  <si>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</si>
  <si>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</si>
  <si>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</si>
  <si>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</si>
  <si>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</si>
  <si>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</si>
  <si>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</si>
  <si>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</si>
  <si>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</si>
  <si>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</si>
  <si>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</si>
  <si>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</si>
  <si>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</si>
  <si>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</si>
  <si>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</si>
  <si>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</si>
  <si>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</si>
  <si>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</si>
  <si>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</si>
  <si>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</si>
  <si>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</si>
  <si>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</si>
  <si>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</si>
  <si>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</si>
  <si>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</si>
  <si>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</si>
  <si>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</si>
  <si>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</si>
  <si>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</si>
  <si>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</si>
  <si>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</si>
  <si>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</si>
  <si>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</si>
  <si>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</si>
  <si>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</si>
  <si>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</si>
  <si>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</si>
  <si>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</si>
  <si>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</si>
  <si>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</si>
  <si>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</si>
  <si>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</si>
  <si>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</si>
  <si>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</si>
  <si>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</si>
  <si>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</si>
  <si>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</si>
  <si>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</si>
  <si>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</si>
  <si>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</si>
  <si>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</si>
  <si>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</si>
  <si>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</si>
  <si>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</si>
  <si>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</si>
  <si>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</si>
  <si>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</si>
  <si>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</si>
  <si>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</si>
  <si>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</si>
  <si>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</si>
  <si>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</si>
  <si>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</si>
  <si>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</si>
  <si>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</si>
  <si>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</si>
  <si>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</si>
  <si>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</si>
  <si>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</si>
  <si>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</si>
  <si>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</si>
  <si>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</si>
  <si>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</si>
  <si>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</si>
  <si>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</si>
  <si>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</si>
  <si>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</si>
  <si>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</si>
  <si>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</si>
  <si>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</si>
  <si>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</si>
  <si>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</si>
  <si>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</si>
  <si>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</si>
  <si>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</si>
  <si>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</si>
  <si>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</si>
  <si>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</si>
  <si>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</si>
  <si>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</si>
  <si>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</si>
  <si>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</si>
  <si>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</si>
  <si>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</si>
  <si>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</si>
  <si>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</si>
  <si>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</si>
  <si>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</si>
  <si>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</si>
  <si>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</si>
  <si>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</si>
  <si>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</si>
  <si>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</si>
  <si>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</si>
  <si>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</si>
  <si>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</si>
  <si>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</si>
  <si>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</si>
  <si>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</si>
  <si>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</si>
  <si>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</si>
  <si>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</si>
  <si>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</si>
  <si>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</si>
  <si>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</si>
  <si>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</si>
  <si>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</si>
  <si>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</si>
  <si>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</si>
  <si>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</si>
  <si>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</si>
  <si>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</si>
  <si>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</si>
  <si>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</si>
  <si>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</si>
  <si>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</si>
  <si>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</si>
  <si>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</si>
  <si>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</si>
  <si>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</si>
  <si>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</si>
  <si>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</si>
  <si>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</si>
  <si>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</si>
  <si>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</si>
  <si>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</si>
  <si>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</si>
  <si>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</si>
  <si>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</si>
  <si>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</si>
  <si>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</si>
  <si>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</si>
  <si>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</si>
  <si>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</si>
  <si>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</si>
  <si>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</si>
  <si>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</si>
  <si>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</si>
  <si>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</si>
  <si>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</si>
  <si>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</si>
  <si>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</si>
  <si>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</si>
  <si>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</si>
  <si>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</si>
  <si>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</si>
  <si>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</si>
  <si>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</si>
  <si>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</si>
  <si>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</si>
  <si>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</si>
  <si>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</si>
  <si>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</si>
  <si>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</si>
  <si>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</si>
  <si>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</si>
  <si>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</si>
  <si>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</si>
  <si>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</si>
  <si>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</si>
  <si>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</si>
  <si>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</si>
  <si>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</si>
  <si>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</si>
  <si>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</si>
  <si>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</si>
  <si>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</si>
  <si>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</si>
  <si>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</si>
  <si>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</si>
  <si>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</si>
  <si>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</si>
  <si>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</si>
  <si>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</si>
  <si>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</si>
  <si>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</si>
  <si>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</si>
  <si>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</si>
  <si>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</si>
  <si>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</si>
  <si>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</si>
  <si>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</si>
  <si>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</si>
  <si>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</si>
  <si>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</si>
  <si>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</si>
  <si>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</si>
  <si>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</si>
  <si>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</si>
  <si>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</si>
  <si>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</si>
  <si>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</si>
  <si>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</si>
  <si>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</si>
  <si>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</si>
  <si>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</si>
  <si>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</si>
  <si>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</si>
  <si>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</si>
  <si>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</si>
  <si>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</si>
  <si>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</si>
  <si>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</si>
  <si>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</si>
  <si>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</si>
  <si>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</si>
  <si>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</si>
  <si>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</si>
  <si>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</si>
  <si>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</si>
  <si>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</si>
  <si>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</si>
  <si>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</si>
  <si>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</si>
  <si>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</si>
  <si>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</si>
  <si>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</si>
  <si>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</si>
  <si>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</si>
  <si>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</si>
  <si>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</si>
  <si>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</si>
  <si>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</si>
  <si>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</si>
  <si>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</si>
  <si>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</si>
  <si>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</si>
  <si>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</si>
  <si>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</si>
  <si>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</si>
  <si>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</si>
  <si>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</si>
  <si>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</si>
  <si>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</si>
  <si>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</si>
  <si>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</si>
  <si>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</si>
  <si>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</si>
  <si>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</si>
  <si>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</si>
  <si>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</si>
  <si>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</si>
  <si>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</si>
  <si>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</si>
  <si>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</si>
  <si>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</si>
  <si>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</si>
  <si>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</si>
  <si>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</si>
  <si>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</si>
  <si>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</si>
  <si>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</si>
  <si>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</si>
  <si>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</si>
  <si>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</si>
  <si>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</si>
  <si>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</si>
  <si>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</si>
  <si>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</si>
  <si>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</si>
  <si>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</si>
  <si>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</si>
  <si>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</si>
  <si>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</si>
  <si>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</si>
  <si>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</si>
  <si>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</si>
  <si>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</si>
  <si>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</si>
  <si>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</si>
  <si>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</si>
  <si>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</si>
  <si>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</si>
  <si>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</si>
  <si>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</si>
  <si>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</si>
  <si>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</si>
  <si>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</si>
  <si>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</si>
  <si>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</si>
  <si>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</si>
  <si>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</si>
  <si>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</si>
  <si>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</si>
  <si>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</si>
  <si>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</si>
  <si>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</si>
  <si>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</si>
  <si>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</si>
  <si>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</si>
  <si>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</si>
  <si>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</si>
  <si>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</si>
  <si>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</si>
  <si>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</si>
  <si>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</si>
  <si>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</si>
  <si>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</si>
  <si>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</si>
  <si>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</si>
  <si>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</si>
  <si>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</si>
  <si>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</si>
  <si>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</si>
  <si>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</si>
  <si>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</si>
  <si>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</si>
  <si>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</si>
  <si>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</si>
  <si>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</si>
  <si>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</si>
  <si>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</si>
  <si>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</si>
  <si>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</si>
  <si>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</si>
  <si>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</si>
  <si>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</si>
  <si>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</si>
  <si>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</si>
  <si>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</si>
  <si>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</si>
  <si>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</si>
  <si>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</si>
  <si>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</si>
  <si>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</si>
  <si>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</si>
  <si>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</si>
  <si>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</si>
  <si>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</si>
  <si>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</si>
  <si>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</si>
  <si>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</si>
  <si>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</si>
  <si>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</si>
  <si>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</si>
  <si>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</si>
  <si>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</si>
  <si>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</si>
  <si>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</si>
  <si>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</si>
  <si>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</si>
  <si>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</si>
  <si>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</si>
  <si>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</si>
  <si>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</si>
  <si>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</si>
  <si>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</si>
  <si>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</si>
  <si>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</si>
  <si>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</si>
  <si>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</si>
  <si>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</si>
  <si>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</si>
  <si>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</si>
  <si>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</si>
  <si>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</si>
  <si>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</si>
  <si>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</si>
  <si>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</si>
  <si>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</si>
  <si>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</si>
  <si>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</si>
  <si>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</si>
  <si>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</si>
  <si>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</si>
  <si>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</si>
  <si>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</si>
  <si>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</si>
  <si>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</si>
  <si>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</si>
  <si>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</si>
  <si>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</si>
  <si>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</si>
  <si>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</si>
  <si>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</si>
  <si>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</si>
  <si>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</si>
  <si>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</si>
  <si>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</si>
  <si>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</si>
  <si>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</si>
  <si>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</si>
  <si>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</si>
  <si>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</si>
  <si>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</si>
  <si>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</si>
  <si>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</si>
  <si>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</si>
  <si>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</si>
  <si>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</si>
  <si>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</si>
  <si>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</si>
  <si>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</si>
  <si>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</si>
  <si>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</si>
  <si>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</si>
  <si>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</si>
  <si>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</si>
  <si>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</si>
  <si>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</si>
  <si>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</si>
  <si>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</si>
  <si>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</si>
  <si>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</si>
  <si>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</si>
  <si>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</si>
  <si>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</si>
  <si>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</si>
  <si>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</si>
  <si>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</si>
  <si>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</si>
  <si>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</si>
  <si>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</si>
  <si>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</si>
  <si>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</si>
  <si>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</si>
  <si>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</si>
  <si>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</si>
  <si>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</si>
  <si>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</si>
  <si>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</si>
  <si>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</si>
  <si>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</si>
  <si>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</si>
  <si>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</si>
  <si>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</si>
  <si>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</si>
  <si>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</si>
  <si>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</si>
  <si>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</si>
  <si>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</si>
  <si>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</si>
  <si>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</si>
  <si>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</si>
  <si>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</si>
  <si>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</si>
  <si>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</si>
  <si>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</si>
  <si>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</si>
  <si>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</si>
  <si>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</si>
  <si>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</si>
  <si>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</si>
  <si>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</si>
  <si>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</si>
  <si>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</si>
  <si>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</si>
  <si>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</si>
  <si>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</si>
  <si>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</si>
  <si>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</si>
  <si>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</si>
  <si>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</si>
  <si>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</si>
  <si>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</si>
  <si>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</si>
  <si>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</si>
  <si>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</si>
  <si>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</si>
  <si>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</si>
  <si>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</si>
  <si>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</si>
  <si>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</si>
  <si>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</si>
  <si>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</si>
  <si>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</si>
  <si>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</si>
  <si>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</si>
  <si>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</si>
  <si>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</si>
  <si>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</si>
  <si>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</si>
  <si>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</si>
  <si>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</si>
  <si>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</si>
  <si>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</si>
  <si>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</si>
  <si>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</si>
  <si>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</si>
  <si>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</si>
  <si>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</si>
  <si>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</si>
  <si>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</si>
  <si>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</si>
  <si>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</si>
  <si>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</si>
  <si>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</si>
  <si>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</si>
  <si>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</si>
  <si>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</si>
  <si>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</si>
  <si>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</si>
  <si>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</si>
  <si>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</si>
  <si>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</si>
  <si>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</si>
  <si>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</si>
  <si>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</si>
  <si>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</si>
  <si>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</si>
  <si>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</si>
  <si>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</si>
  <si>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</si>
  <si>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</si>
  <si>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</si>
  <si>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</si>
  <si>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</si>
  <si>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</si>
  <si>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</si>
  <si>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</si>
  <si>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</si>
  <si>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</si>
  <si>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</si>
  <si>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</si>
  <si>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</si>
  <si>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</si>
  <si>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</si>
  <si>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</si>
  <si>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</si>
  <si>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</si>
  <si>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</si>
  <si>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</si>
  <si>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</si>
  <si>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</si>
  <si>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</si>
  <si>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</si>
  <si>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</si>
  <si>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</si>
  <si>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</si>
  <si>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</si>
  <si>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</si>
  <si>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</si>
  <si>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</si>
  <si>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</si>
  <si>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</si>
  <si>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</si>
  <si>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</si>
  <si>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</si>
  <si>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</si>
  <si>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</si>
  <si>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</si>
  <si>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</si>
  <si>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</si>
  <si>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</si>
  <si>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</si>
  <si>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</si>
  <si>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</si>
  <si>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</si>
  <si>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</si>
  <si>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</si>
  <si>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</si>
  <si>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</si>
  <si>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</si>
  <si>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</si>
  <si>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</si>
  <si>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</si>
  <si>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</si>
  <si>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</si>
  <si>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</si>
  <si>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</si>
  <si>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</si>
  <si>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</si>
  <si>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</si>
  <si>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</si>
  <si>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</si>
  <si>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</si>
  <si>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</si>
  <si>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</si>
  <si>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</si>
  <si>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</si>
  <si>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</si>
  <si>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</si>
  <si>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</si>
  <si>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</si>
  <si>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</si>
  <si>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</si>
  <si>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</si>
  <si>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</si>
  <si>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</si>
  <si>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</si>
  <si>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</si>
  <si>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</si>
  <si>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</si>
  <si>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</si>
  <si>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</si>
  <si>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</si>
  <si>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</si>
  <si>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</si>
  <si>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</si>
  <si>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</si>
  <si>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</si>
  <si>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</si>
  <si>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</si>
  <si>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</si>
  <si>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</si>
  <si>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</si>
  <si>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</si>
  <si>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</si>
  <si>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</si>
  <si>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</si>
  <si>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</si>
  <si>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</si>
  <si>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</si>
  <si>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</si>
  <si>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</si>
  <si>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</si>
  <si>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</si>
  <si>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</si>
  <si>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</si>
  <si>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</si>
  <si>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</si>
  <si>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</si>
  <si>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</si>
  <si>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</si>
  <si>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</si>
  <si>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</si>
  <si>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</si>
  <si>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</si>
  <si>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</si>
  <si>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</si>
  <si>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</si>
  <si>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</si>
  <si>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</si>
  <si>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</si>
  <si>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</si>
  <si>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</si>
  <si>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</si>
  <si>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</si>
  <si>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</si>
  <si>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</si>
  <si>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</si>
  <si>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</si>
  <si>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</si>
  <si>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</si>
  <si>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</si>
  <si>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</si>
  <si>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</si>
  <si>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</si>
  <si>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</si>
  <si>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</si>
  <si>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</si>
  <si>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</si>
  <si>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</si>
  <si>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</si>
  <si>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</si>
  <si>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</si>
  <si>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</si>
  <si>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</si>
  <si>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</si>
  <si>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</si>
  <si>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</si>
  <si>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</si>
  <si>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</si>
  <si>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</si>
  <si>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</si>
  <si>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</si>
  <si>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</si>
  <si>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</si>
  <si>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</si>
  <si>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</si>
  <si>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</si>
  <si>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</si>
  <si>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</si>
  <si>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</si>
  <si>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</si>
  <si>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</si>
  <si>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</si>
  <si>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</si>
  <si>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</si>
  <si>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</si>
  <si>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</si>
  <si>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</si>
  <si>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</si>
  <si>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</si>
  <si>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</si>
  <si>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</si>
  <si>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</si>
  <si>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</si>
  <si>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</si>
  <si>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</si>
  <si>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</si>
  <si>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</si>
  <si>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</si>
  <si>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</si>
  <si>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</si>
  <si>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</si>
  <si>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</si>
  <si>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</si>
  <si>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</si>
  <si>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</si>
  <si>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</si>
  <si>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</si>
  <si>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</si>
  <si>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</si>
  <si>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</si>
  <si>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</si>
  <si>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</si>
  <si>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</si>
  <si>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</si>
  <si>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</si>
  <si>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</si>
  <si>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</si>
  <si>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</si>
  <si>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</si>
  <si>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</si>
  <si>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</si>
  <si>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</si>
  <si>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</si>
  <si>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</si>
  <si>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</si>
  <si>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</si>
  <si>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</si>
  <si>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</si>
  <si>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</si>
  <si>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</si>
  <si>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</si>
  <si>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</si>
  <si>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</si>
  <si>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</si>
  <si>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</si>
  <si>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</si>
  <si>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</si>
  <si>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</si>
  <si>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</si>
  <si>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</si>
  <si>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</si>
  <si>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</si>
  <si>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</si>
  <si>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</si>
  <si>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</si>
  <si>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</si>
  <si>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</si>
  <si>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</si>
  <si>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</si>
  <si>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</si>
  <si>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</si>
  <si>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</si>
  <si>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</si>
  <si>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</si>
  <si>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</si>
  <si>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</si>
  <si>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</si>
  <si>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</si>
  <si>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</si>
  <si>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</si>
  <si>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</si>
  <si>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</si>
  <si>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</si>
  <si>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</si>
  <si>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</si>
  <si>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</si>
  <si>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</si>
  <si>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</si>
  <si>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</si>
  <si>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</si>
  <si>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</si>
  <si>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</si>
  <si>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</si>
  <si>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</si>
  <si>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</si>
  <si>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</si>
  <si>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</si>
  <si>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</si>
  <si>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</si>
  <si>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</si>
  <si>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</si>
  <si>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</si>
  <si>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</si>
  <si>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</si>
  <si>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</si>
  <si>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</si>
  <si>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</si>
  <si>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</si>
  <si>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</si>
  <si>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</si>
  <si>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</si>
  <si>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</si>
  <si>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</si>
  <si>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</si>
  <si>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</si>
  <si>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</si>
  <si>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</si>
  <si>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</si>
  <si>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</si>
  <si>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</si>
  <si>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</si>
  <si>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</si>
  <si>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</si>
  <si>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</si>
  <si>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</si>
  <si>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</si>
  <si>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</si>
  <si>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</si>
  <si>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</si>
  <si>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</si>
  <si>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</si>
  <si>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</si>
  <si>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</si>
  <si>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</si>
  <si>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</si>
  <si>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</si>
  <si>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</si>
  <si>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</si>
  <si>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</si>
  <si>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</si>
  <si>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</si>
  <si>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</si>
  <si>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</si>
  <si>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</si>
  <si>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</si>
  <si>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</si>
  <si>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</si>
  <si>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</si>
  <si>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</si>
  <si>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</si>
  <si>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</si>
  <si>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</si>
  <si>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</si>
  <si>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</si>
  <si>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</si>
  <si>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</si>
  <si>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</si>
  <si>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</si>
  <si>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</si>
  <si>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</si>
  <si>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</si>
  <si>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</si>
  <si>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</si>
  <si>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</si>
  <si>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</si>
  <si>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</si>
  <si>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</si>
  <si>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</si>
  <si>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</si>
  <si>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</si>
  <si>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</si>
  <si>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</si>
  <si>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</si>
  <si>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</si>
  <si>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</si>
  <si>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</si>
  <si>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</si>
  <si>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</si>
  <si>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</si>
  <si>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</si>
  <si>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</si>
  <si>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</si>
  <si>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</si>
  <si>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</si>
  <si>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</si>
  <si>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</si>
  <si>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</si>
  <si>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</si>
  <si>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</si>
  <si>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</si>
  <si>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</si>
  <si>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</si>
  <si>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</si>
  <si>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</si>
  <si>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</si>
  <si>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</si>
  <si>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</si>
  <si>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</si>
  <si>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</si>
  <si>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</si>
  <si>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</si>
  <si>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</si>
  <si>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</si>
  <si>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</si>
  <si>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</si>
  <si>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</si>
  <si>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</si>
  <si>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</si>
  <si>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</si>
  <si>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</si>
  <si>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</si>
  <si>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</si>
  <si>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</si>
  <si>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</si>
  <si>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</si>
  <si>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</si>
  <si>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</si>
  <si>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</si>
  <si>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</si>
  <si>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</si>
  <si>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</si>
  <si>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</si>
  <si>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</si>
  <si>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</si>
  <si>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</si>
  <si>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</si>
  <si>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</si>
  <si>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</si>
  <si>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</si>
  <si>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</si>
  <si>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</si>
  <si>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</si>
  <si>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</si>
  <si>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</si>
  <si>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</si>
  <si>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</si>
  <si>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</si>
  <si>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</si>
  <si>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</si>
  <si>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</si>
  <si>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</si>
  <si>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</si>
  <si>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</si>
  <si>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</si>
  <si>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</si>
  <si>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</si>
  <si>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</si>
  <si>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</si>
  <si>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</si>
  <si>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</si>
  <si>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</si>
  <si>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</si>
  <si>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</si>
  <si>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</si>
  <si>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</si>
  <si>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</si>
  <si>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</si>
  <si>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</si>
  <si>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</si>
  <si>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</si>
  <si>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</si>
  <si>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</si>
  <si>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</si>
  <si>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</si>
  <si>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</si>
  <si>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</si>
  <si>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</si>
  <si>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</si>
  <si>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</si>
  <si>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</si>
  <si>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</si>
  <si>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</si>
  <si>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</si>
  <si>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</si>
  <si>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</si>
  <si>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</si>
  <si>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</si>
  <si>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</si>
  <si>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</si>
  <si>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</si>
  <si>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</si>
  <si>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</si>
  <si>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</si>
  <si>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</si>
  <si>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</si>
  <si>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</si>
  <si>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</si>
  <si>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</si>
  <si>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</si>
  <si>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</si>
  <si>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</si>
  <si>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</si>
  <si>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</si>
  <si>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</si>
  <si>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</si>
  <si>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</si>
  <si>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</si>
  <si>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</si>
  <si>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</si>
  <si>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</si>
  <si>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</si>
  <si>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</si>
  <si>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</si>
  <si>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</si>
  <si>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</si>
  <si>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</si>
  <si>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</si>
  <si>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</si>
  <si>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</si>
  <si>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</si>
  <si>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</si>
  <si>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</si>
  <si>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</si>
  <si>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</si>
  <si>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</si>
  <si>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</si>
  <si>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</si>
  <si>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</si>
  <si>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</si>
  <si>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</si>
  <si>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</si>
  <si>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</si>
  <si>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</si>
  <si>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</si>
  <si>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</si>
  <si>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</si>
  <si>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</si>
  <si>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</si>
  <si>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</si>
  <si>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</si>
  <si>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</si>
  <si>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</si>
  <si>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</si>
  <si>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</si>
  <si>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</si>
  <si>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</si>
  <si>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</si>
  <si>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</si>
  <si>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</si>
  <si>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</si>
  <si>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</si>
  <si>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</si>
  <si>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</si>
  <si>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</si>
  <si>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</si>
  <si>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</si>
  <si>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</si>
  <si>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</si>
  <si>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</si>
  <si>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</si>
  <si>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</si>
  <si>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</si>
  <si>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</si>
  <si>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</si>
  <si>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</si>
  <si>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</si>
  <si>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</si>
  <si>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</si>
  <si>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</si>
  <si>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</si>
  <si>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</si>
  <si>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</si>
  <si>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</si>
  <si>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</si>
  <si>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</si>
  <si>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</si>
  <si>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</si>
  <si>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</si>
  <si>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</si>
  <si>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</si>
  <si>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</si>
  <si>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</si>
  <si>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</si>
  <si>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</si>
  <si>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</si>
  <si>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</si>
  <si>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</si>
  <si>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</si>
  <si>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</si>
  <si>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</si>
  <si>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</si>
  <si>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</si>
  <si>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</si>
  <si>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</si>
  <si>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</si>
  <si>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</si>
  <si>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</si>
  <si>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</si>
  <si>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</si>
  <si>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</si>
  <si>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</si>
  <si>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</si>
  <si>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</si>
  <si>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</si>
  <si>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</si>
  <si>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</si>
  <si>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</si>
  <si>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</si>
  <si>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</si>
  <si>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</si>
  <si>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</si>
  <si>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</si>
  <si>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</si>
  <si>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</si>
  <si>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</si>
  <si>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</si>
  <si>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</si>
  <si>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</si>
  <si>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</si>
  <si>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</si>
  <si>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</si>
  <si>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</si>
  <si>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</si>
  <si>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</si>
  <si>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</si>
  <si>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</si>
  <si>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</si>
  <si>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</si>
  <si>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</si>
  <si>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</si>
  <si>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</si>
  <si>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</si>
  <si>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</si>
  <si>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</si>
  <si>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</si>
  <si>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</si>
  <si>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</si>
  <si>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</si>
  <si>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</si>
  <si>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</si>
  <si>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</si>
  <si>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</si>
  <si>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</si>
  <si>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</si>
  <si>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</si>
  <si>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</si>
  <si>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</si>
  <si>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</si>
  <si>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</si>
  <si>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</si>
  <si>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</si>
  <si>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</si>
  <si>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</si>
  <si>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</si>
  <si>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</si>
  <si>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</si>
  <si>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</si>
  <si>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</si>
  <si>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</si>
  <si>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</si>
  <si>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</si>
  <si>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</si>
  <si>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</si>
  <si>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</si>
  <si>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</si>
  <si>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</si>
  <si>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</si>
  <si>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</si>
  <si>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</si>
  <si>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</si>
  <si>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</si>
  <si>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</si>
  <si>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</si>
  <si>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</si>
  <si>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</si>
  <si>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</si>
  <si>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</si>
  <si>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</si>
  <si>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</si>
  <si>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</si>
  <si>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</si>
  <si>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</si>
  <si>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</si>
  <si>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</si>
  <si>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</si>
  <si>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</si>
  <si>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</si>
  <si>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</si>
  <si>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</si>
  <si>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</si>
  <si>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</si>
  <si>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</si>
  <si>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</si>
  <si>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</si>
  <si>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</si>
  <si>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</si>
  <si>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</si>
  <si>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</si>
  <si>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</si>
  <si>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</si>
  <si>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</si>
  <si>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</si>
  <si>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</si>
  <si>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</si>
  <si>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</si>
  <si>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</si>
  <si>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</si>
  <si>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</si>
  <si>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</si>
  <si>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</si>
  <si>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</si>
  <si>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</si>
  <si>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</si>
  <si>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</si>
  <si>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</si>
  <si>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</si>
  <si>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</si>
  <si>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</si>
  <si>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</si>
  <si>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</si>
  <si>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</si>
  <si>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</si>
  <si>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</si>
  <si>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</si>
  <si>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</si>
  <si>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</si>
  <si>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</si>
  <si>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</si>
  <si>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</si>
  <si>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</si>
  <si>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</si>
  <si>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</si>
  <si>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</si>
  <si>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</si>
  <si>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</si>
  <si>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</si>
  <si>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</si>
  <si>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</si>
  <si>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</si>
  <si>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</si>
  <si>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</si>
  <si>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</si>
  <si>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</si>
  <si>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</si>
  <si>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</si>
  <si>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</si>
  <si>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</si>
  <si>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</si>
  <si>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</si>
  <si>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</si>
  <si>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</si>
  <si>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</si>
  <si>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</si>
  <si>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</si>
  <si>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</si>
  <si>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</si>
  <si>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</si>
  <si>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</si>
  <si>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</si>
  <si>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</si>
  <si>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</si>
  <si>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</si>
  <si>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</si>
  <si>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</si>
  <si>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</si>
  <si>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</si>
  <si>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</si>
  <si>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</si>
  <si>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</si>
  <si>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</si>
  <si>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</si>
  <si>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</si>
  <si>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</si>
  <si>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</si>
  <si>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</si>
  <si>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</si>
  <si>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</si>
  <si>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</si>
  <si>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</si>
  <si>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</si>
  <si>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</si>
  <si>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</si>
  <si>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</si>
  <si>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</si>
  <si>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</si>
  <si>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</si>
  <si>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</si>
  <si>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</si>
  <si>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</si>
  <si>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</si>
  <si>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</si>
  <si>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</si>
  <si>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</si>
  <si>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</si>
  <si>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</si>
  <si>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</si>
  <si>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</si>
  <si>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</si>
  <si>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</si>
  <si>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</si>
  <si>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</si>
  <si>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</si>
  <si>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</si>
  <si>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</si>
  <si>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</si>
  <si>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</si>
  <si>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</si>
  <si>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</si>
  <si>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</si>
  <si>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</si>
  <si>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</si>
  <si>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</si>
  <si>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</si>
  <si>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</si>
  <si>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</si>
  <si>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</si>
  <si>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</si>
  <si>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</si>
  <si>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</si>
  <si>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</si>
  <si>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</si>
  <si>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</si>
  <si>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</si>
  <si>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</si>
  <si>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</si>
  <si>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</si>
  <si>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</si>
  <si>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</si>
  <si>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</si>
  <si>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</si>
  <si>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</si>
  <si>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</si>
  <si>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</si>
  <si>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</si>
  <si>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</si>
  <si>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</si>
  <si>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</si>
  <si>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</si>
  <si>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</si>
  <si>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</si>
  <si>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</si>
  <si>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</si>
  <si>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</si>
  <si>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</si>
  <si>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</si>
  <si>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</si>
  <si>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</si>
  <si>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</si>
  <si>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</si>
  <si>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</si>
  <si>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</si>
  <si>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</si>
  <si>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</si>
  <si>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</si>
  <si>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</si>
  <si>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</si>
  <si>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</si>
  <si>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</si>
  <si>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</si>
  <si>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</si>
  <si>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</si>
  <si>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</si>
  <si>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</si>
  <si>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</si>
  <si>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</si>
  <si>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</si>
  <si>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</si>
  <si>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</si>
  <si>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</si>
  <si>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</si>
  <si>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</si>
  <si>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</si>
  <si>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</si>
  <si>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</si>
  <si>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</si>
  <si>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</si>
  <si>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</si>
  <si>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</si>
  <si>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</si>
  <si>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</si>
  <si>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</si>
  <si>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</si>
  <si>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</si>
  <si>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</si>
  <si>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</si>
  <si>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</si>
  <si>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</si>
  <si>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</si>
  <si>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</si>
  <si>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</si>
  <si>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</si>
  <si>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</si>
  <si>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</si>
  <si>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</si>
  <si>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</si>
  <si>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</si>
  <si>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</si>
  <si>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</si>
  <si>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</si>
  <si>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</si>
  <si>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</si>
  <si>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</si>
  <si>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</si>
  <si>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</si>
  <si>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</si>
  <si>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</si>
  <si>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</si>
  <si>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</si>
  <si>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</si>
  <si>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</si>
  <si>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</si>
  <si>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</si>
  <si>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</si>
  <si>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</si>
  <si>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</si>
  <si>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</si>
  <si>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</si>
  <si>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</si>
  <si>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</si>
  <si>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</si>
  <si>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</si>
  <si>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</si>
  <si>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</si>
  <si>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</si>
  <si>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</si>
  <si>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</si>
  <si>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</si>
  <si>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</si>
  <si>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</si>
  <si>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</si>
  <si>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</si>
  <si>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</si>
  <si>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</si>
  <si>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</si>
  <si>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</si>
  <si>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</si>
  <si>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</si>
  <si>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</si>
  <si>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</si>
  <si>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</si>
  <si>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</si>
  <si>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</si>
  <si>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</si>
  <si>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</si>
  <si>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</si>
  <si>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</si>
  <si>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</si>
  <si>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</si>
  <si>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</si>
  <si>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</si>
  <si>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</si>
  <si>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</si>
  <si>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</si>
  <si>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</si>
  <si>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</si>
  <si>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</si>
  <si>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</si>
  <si>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</si>
  <si>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</si>
  <si>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</si>
  <si>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</si>
  <si>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</si>
  <si>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</si>
  <si>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</si>
  <si>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</si>
  <si>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</si>
  <si>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</si>
  <si>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</si>
  <si>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</si>
  <si>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</si>
  <si>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</si>
  <si>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</si>
  <si>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</si>
  <si>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</si>
  <si>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</si>
  <si>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</si>
  <si>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</si>
  <si>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</si>
  <si>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</si>
  <si>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</si>
  <si>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</si>
  <si>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</si>
  <si>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</si>
  <si>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</si>
  <si>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</si>
  <si>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</si>
  <si>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</si>
  <si>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</si>
  <si>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</si>
  <si>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</si>
  <si>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</si>
  <si>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</si>
  <si>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</si>
  <si>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</si>
  <si>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</si>
  <si>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</si>
  <si>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</si>
  <si>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</si>
  <si>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</si>
  <si>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</si>
  <si>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</si>
  <si>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</si>
  <si>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</si>
  <si>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</si>
  <si>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</si>
  <si>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</si>
  <si>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</si>
  <si>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</si>
  <si>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</si>
  <si>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</si>
  <si>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</si>
  <si>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</si>
  <si>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</si>
  <si>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</si>
  <si>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</si>
  <si>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</si>
  <si>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</si>
  <si>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</si>
  <si>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</si>
  <si>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</si>
  <si>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</si>
  <si>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</si>
  <si>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</si>
  <si>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</si>
  <si>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</si>
  <si>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</si>
  <si>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</si>
  <si>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</si>
  <si>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</si>
  <si>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</si>
  <si>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</si>
  <si>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</si>
  <si>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</si>
  <si>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</si>
  <si>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</si>
  <si>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</si>
  <si>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</si>
  <si>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</si>
  <si>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</si>
  <si>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</si>
  <si>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</si>
  <si>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</si>
  <si>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</si>
  <si>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</si>
  <si>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</si>
  <si>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</si>
  <si>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</si>
  <si>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</si>
  <si>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</si>
  <si>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</si>
  <si>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</si>
  <si>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</si>
  <si>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</si>
  <si>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</si>
  <si>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</si>
  <si>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</si>
  <si>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</si>
  <si>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</si>
  <si>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</si>
  <si>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</si>
  <si>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</si>
  <si>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</si>
  <si>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</si>
  <si>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</si>
  <si>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</si>
  <si>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</si>
  <si>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</si>
  <si>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</si>
  <si>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</si>
  <si>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</si>
  <si>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</si>
  <si>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</si>
  <si>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</si>
  <si>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</si>
  <si>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</si>
  <si>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</si>
  <si>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</si>
  <si>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</si>
  <si>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</si>
  <si>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</si>
  <si>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</si>
  <si>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</si>
  <si>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</si>
  <si>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</si>
  <si>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</si>
  <si>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</si>
  <si>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</si>
  <si>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</si>
  <si>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</si>
  <si>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</si>
  <si>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</si>
  <si>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</si>
  <si>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</si>
  <si>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</si>
  <si>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</si>
  <si>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</si>
  <si>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</si>
  <si>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</si>
  <si>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</si>
  <si>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</si>
  <si>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</si>
  <si>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</si>
  <si>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</si>
  <si>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</si>
  <si>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</si>
  <si>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</si>
  <si>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</si>
  <si>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</si>
  <si>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</si>
  <si>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</si>
  <si>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</si>
  <si>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</si>
  <si>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</si>
  <si>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</si>
  <si>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</si>
  <si>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</si>
  <si>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</si>
  <si>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</si>
  <si>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</si>
  <si>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</si>
  <si>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</si>
  <si>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</si>
  <si>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</si>
  <si>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</si>
  <si>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</si>
  <si>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</si>
  <si>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</si>
  <si>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</si>
  <si>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</si>
  <si>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</si>
  <si>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</si>
  <si>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</si>
  <si>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</si>
  <si>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</si>
  <si>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</si>
  <si>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</si>
  <si>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</si>
  <si>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</si>
  <si>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</si>
  <si>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</si>
  <si>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</si>
  <si>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</si>
  <si>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</si>
  <si>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</si>
  <si>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</si>
  <si>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</si>
  <si>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</si>
  <si>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</si>
  <si>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</si>
  <si>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</si>
  <si>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</si>
  <si>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</si>
  <si>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</si>
  <si>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</si>
  <si>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</si>
  <si>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</si>
  <si>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</si>
  <si>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</si>
  <si>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</si>
  <si>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</si>
  <si>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</si>
  <si>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</si>
  <si>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</si>
  <si>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</si>
  <si>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</si>
  <si>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</si>
  <si>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</si>
  <si>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</si>
  <si>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</si>
  <si>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</si>
  <si>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</si>
  <si>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</si>
  <si>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</si>
  <si>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</si>
  <si>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</si>
  <si>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</si>
  <si>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</si>
  <si>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</si>
  <si>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</si>
  <si>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</si>
  <si>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</si>
  <si>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</si>
  <si>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</si>
  <si>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</si>
  <si>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</si>
  <si>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</si>
  <si>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</si>
  <si>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</si>
  <si>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</si>
  <si>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</si>
  <si>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</si>
  <si>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</si>
  <si>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</si>
  <si>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</si>
  <si>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</si>
  <si>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</si>
  <si>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</si>
  <si>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</si>
  <si>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</si>
  <si>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</si>
  <si>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</si>
  <si>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</si>
  <si>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</si>
  <si>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</si>
  <si>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</si>
  <si>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</si>
  <si>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</si>
  <si>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</si>
  <si>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</si>
  <si>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</si>
  <si>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</si>
  <si>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</si>
  <si>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</si>
  <si>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</si>
  <si>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</si>
  <si>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</si>
  <si>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</si>
  <si>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</si>
  <si>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</si>
  <si>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</si>
  <si>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</si>
  <si>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</si>
  <si>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</si>
  <si>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</si>
  <si>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</si>
  <si>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</si>
  <si>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</si>
  <si>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</si>
  <si>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</si>
  <si>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</si>
  <si>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</si>
  <si>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</si>
  <si>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</si>
  <si>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</si>
  <si>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</si>
  <si>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</si>
  <si>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</si>
  <si>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</si>
  <si>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</si>
  <si>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</si>
  <si>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</si>
  <si>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</si>
  <si>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</si>
  <si>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</si>
  <si>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</si>
  <si>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</si>
  <si>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</si>
  <si>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</si>
  <si>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</si>
  <si>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</si>
  <si>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</si>
  <si>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</si>
  <si>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</si>
  <si>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</si>
  <si>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</si>
  <si>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</si>
  <si>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</si>
  <si>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</si>
  <si>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</si>
  <si>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</si>
  <si>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</si>
  <si>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</si>
  <si>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</si>
  <si>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</si>
  <si>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</si>
  <si>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</si>
  <si>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</si>
  <si>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</si>
  <si>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</si>
  <si>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</si>
  <si>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</si>
  <si>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</si>
  <si>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</si>
  <si>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</si>
  <si>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</si>
  <si>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</si>
  <si>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</si>
  <si>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</si>
  <si>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</si>
  <si>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</si>
  <si>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</si>
  <si>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</si>
  <si>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</si>
  <si>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</si>
  <si>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</si>
  <si>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</si>
  <si>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</si>
  <si>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</si>
  <si>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</si>
  <si>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</si>
  <si>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</si>
  <si>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</si>
  <si>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</si>
  <si>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</si>
  <si>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</si>
  <si>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</si>
  <si>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</si>
  <si>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</si>
  <si>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</si>
  <si>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</si>
  <si>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</si>
  <si>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</si>
  <si>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</si>
  <si>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</si>
  <si>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</si>
  <si>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</si>
  <si>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</si>
  <si>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</si>
  <si>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</si>
  <si>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</si>
  <si>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</si>
  <si>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</si>
  <si>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</si>
  <si>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</si>
  <si>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</si>
  <si>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</si>
  <si>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</si>
  <si>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</si>
  <si>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</si>
  <si>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</si>
  <si>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</si>
  <si>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</si>
  <si>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</si>
  <si>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</si>
  <si>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</si>
  <si>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</si>
  <si>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</si>
  <si>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</si>
  <si>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</si>
  <si>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</si>
  <si>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</si>
  <si>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</si>
  <si>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</si>
  <si>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</si>
  <si>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</si>
  <si>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</si>
  <si>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</si>
  <si>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</si>
  <si>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</si>
  <si>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</si>
  <si>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</si>
  <si>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</si>
  <si>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</si>
  <si>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</si>
  <si>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</si>
  <si>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</si>
  <si>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</si>
  <si>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</si>
  <si>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</si>
  <si>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</si>
  <si>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</si>
  <si>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</si>
  <si>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</si>
  <si>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</si>
  <si>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</si>
  <si>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</si>
  <si>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</si>
  <si>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</si>
  <si>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</si>
  <si>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</si>
  <si>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</si>
  <si>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</si>
  <si>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</si>
  <si>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</si>
  <si>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</si>
  <si>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</si>
  <si>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</si>
  <si>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</si>
  <si>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</si>
  <si>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</si>
  <si>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</si>
  <si>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</si>
  <si>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</si>
  <si>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</si>
  <si>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</si>
  <si>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</si>
  <si>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</si>
  <si>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</si>
  <si>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</si>
  <si>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</si>
  <si>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</si>
  <si>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</si>
  <si>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</si>
  <si>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</si>
  <si>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</si>
  <si>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</si>
  <si>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</si>
  <si>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</si>
  <si>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</si>
  <si>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</si>
  <si>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</si>
  <si>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</si>
  <si>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</si>
  <si>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</si>
  <si>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</si>
  <si>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</si>
  <si>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</si>
  <si>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</si>
  <si>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</si>
  <si>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</si>
  <si>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</si>
  <si>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</si>
  <si>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</si>
  <si>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</si>
  <si>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</si>
  <si>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</si>
  <si>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</si>
  <si>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</si>
  <si>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</si>
  <si>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</si>
  <si>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</si>
  <si>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</si>
  <si>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</si>
  <si>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</si>
  <si>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</si>
  <si>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</si>
  <si>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</si>
  <si>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</si>
  <si>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</si>
  <si>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</si>
  <si>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</si>
  <si>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</si>
  <si>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</si>
  <si>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</si>
  <si>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</si>
  <si>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</si>
  <si>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</si>
  <si>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</si>
  <si>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</si>
  <si>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</si>
  <si>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</si>
  <si>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</si>
  <si>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</si>
  <si>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</si>
  <si>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</si>
  <si>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</si>
  <si>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</si>
  <si>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</si>
  <si>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</si>
  <si>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</si>
  <si>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</si>
  <si>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</si>
  <si>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</si>
  <si>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</si>
  <si>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</si>
  <si>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</si>
  <si>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</si>
  <si>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</si>
  <si>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</si>
  <si>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</si>
  <si>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</si>
  <si>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</si>
  <si>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</si>
  <si>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</si>
  <si>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</si>
  <si>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</si>
  <si>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</si>
  <si>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</si>
  <si>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</si>
  <si>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</si>
  <si>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</si>
  <si>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</si>
  <si>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</si>
  <si>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</si>
  <si>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</si>
  <si>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</si>
  <si>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</si>
  <si>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</si>
  <si>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</si>
  <si>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</si>
  <si>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</si>
  <si>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</si>
  <si>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</si>
  <si>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</si>
  <si>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</si>
  <si>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</si>
  <si>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</si>
  <si>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</si>
  <si>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</si>
  <si>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</si>
  <si>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</si>
  <si>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</si>
  <si>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</si>
  <si>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</si>
  <si>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</si>
  <si>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</si>
  <si>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</si>
  <si>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</si>
  <si>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</si>
  <si>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</si>
  <si>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</si>
  <si>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</si>
  <si>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</si>
  <si>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</si>
  <si>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</si>
  <si>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</si>
  <si>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</si>
  <si>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</si>
  <si>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</si>
  <si>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</si>
  <si>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</si>
  <si>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</si>
  <si>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</si>
  <si>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</si>
  <si>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</si>
  <si>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</si>
  <si>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</si>
  <si>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</si>
  <si>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</si>
  <si>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</si>
  <si>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</si>
  <si>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</si>
  <si>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</si>
  <si>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</si>
  <si>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</si>
  <si>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</si>
  <si>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</si>
  <si>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</si>
  <si>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</si>
  <si>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</si>
  <si>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</si>
  <si>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</si>
  <si>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</si>
  <si>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</si>
  <si>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</si>
  <si>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</si>
  <si>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</si>
  <si>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</si>
  <si>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</si>
  <si>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</si>
  <si>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</si>
  <si>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</si>
  <si>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</si>
  <si>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</si>
  <si>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</si>
  <si>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</si>
  <si>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</si>
  <si>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</si>
  <si>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</si>
  <si>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</si>
  <si>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</si>
  <si>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</si>
  <si>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</si>
  <si>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</si>
  <si>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</si>
  <si>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</si>
  <si>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</si>
  <si>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</si>
  <si>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</si>
  <si>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</si>
  <si>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</si>
  <si>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</si>
  <si>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</si>
  <si>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</si>
  <si>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</si>
  <si>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</si>
  <si>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</si>
  <si>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</si>
  <si>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</si>
  <si>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</si>
  <si>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</si>
  <si>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</si>
  <si>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</si>
  <si>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</si>
  <si>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</si>
  <si>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</si>
  <si>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</si>
  <si>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</si>
  <si>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</si>
  <si>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</si>
  <si>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</si>
  <si>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</si>
  <si>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</si>
  <si>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</si>
  <si>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</si>
  <si>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</si>
  <si>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</si>
  <si>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</si>
  <si>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</si>
  <si>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</si>
  <si>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</si>
  <si>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</si>
  <si>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</si>
  <si>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</si>
  <si>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</si>
  <si>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</si>
  <si>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</si>
  <si>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</si>
  <si>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</si>
  <si>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</si>
  <si>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</si>
  <si>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</si>
  <si>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</si>
  <si>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</si>
  <si>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</si>
  <si>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</si>
  <si>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</si>
  <si>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</si>
  <si>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</si>
  <si>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</si>
  <si>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</si>
  <si>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</si>
  <si>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</si>
  <si>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</si>
  <si>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</si>
  <si>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</si>
  <si>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</si>
  <si>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</si>
  <si>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</si>
  <si>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</si>
  <si>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</si>
  <si>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</si>
  <si>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</si>
  <si>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</si>
  <si>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</si>
  <si>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</si>
  <si>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</si>
  <si>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</si>
  <si>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</si>
  <si>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</si>
  <si>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</si>
  <si>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</si>
  <si>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</si>
  <si>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</si>
  <si>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</si>
  <si>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</si>
  <si>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</si>
  <si>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</si>
  <si>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</si>
  <si>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</si>
  <si>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</si>
  <si>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</si>
  <si>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</si>
  <si>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</si>
  <si>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</si>
  <si>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</si>
  <si>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</si>
  <si>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</si>
  <si>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</si>
  <si>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</si>
  <si>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</si>
  <si>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</si>
  <si>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</si>
  <si>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</si>
  <si>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</si>
  <si>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</si>
  <si>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</si>
  <si>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</si>
  <si>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</si>
  <si>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</si>
  <si>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</si>
  <si>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</si>
  <si>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</si>
  <si>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</si>
  <si>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</si>
  <si>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</si>
  <si>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</si>
  <si>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</si>
  <si>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</si>
  <si>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</si>
  <si>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</si>
  <si>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</si>
  <si>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</si>
  <si>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</si>
  <si>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</si>
  <si>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</si>
  <si>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</si>
  <si>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</si>
  <si>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</si>
  <si>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</si>
  <si>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</si>
  <si>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</si>
  <si>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</si>
  <si>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</si>
  <si>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</si>
  <si>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</si>
  <si>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</si>
  <si>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</si>
  <si>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</si>
  <si>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</si>
  <si>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</si>
  <si>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</si>
  <si>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</si>
  <si>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</si>
  <si>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</si>
  <si>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</si>
  <si>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</si>
  <si>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</si>
  <si>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</si>
  <si>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</si>
  <si>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</si>
  <si>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</si>
  <si>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</si>
  <si>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</si>
  <si>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</si>
  <si>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</si>
  <si>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</si>
  <si>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</si>
  <si>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</si>
  <si>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</si>
  <si>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</si>
  <si>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</si>
  <si>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</si>
  <si>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</si>
  <si>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</si>
  <si>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</si>
  <si>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</si>
  <si>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</si>
  <si>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</si>
  <si>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</si>
  <si>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</si>
  <si>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</si>
  <si>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</si>
  <si>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</si>
  <si>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</si>
  <si>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</si>
  <si>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</si>
  <si>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</si>
  <si>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</si>
  <si>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</si>
  <si>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</si>
  <si>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</si>
  <si>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</si>
  <si>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</si>
  <si>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</si>
  <si>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</si>
  <si>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</si>
  <si>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</si>
  <si>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</si>
  <si>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</si>
  <si>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</si>
  <si>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</si>
  <si>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</si>
  <si>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</si>
  <si>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</si>
  <si>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</si>
  <si>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</si>
  <si>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</si>
  <si>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</si>
  <si>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</si>
  <si>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</si>
  <si>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</si>
  <si>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</si>
  <si>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</si>
  <si>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</si>
  <si>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</si>
  <si>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</si>
  <si>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</si>
  <si>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</si>
  <si>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</si>
  <si>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</si>
  <si>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</si>
  <si>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</si>
  <si>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</si>
  <si>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</si>
  <si>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</si>
  <si>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</si>
  <si>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</si>
  <si>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</si>
  <si>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</si>
  <si>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</si>
  <si>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</si>
  <si>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</si>
  <si>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</si>
  <si>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</si>
  <si>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</si>
  <si>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</si>
  <si>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</si>
  <si>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</si>
  <si>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</si>
  <si>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</si>
  <si>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</si>
  <si>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</si>
  <si>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</si>
  <si>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</si>
  <si>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</si>
  <si>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</si>
  <si>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</si>
  <si>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</si>
  <si>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</si>
  <si>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</si>
  <si>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</si>
  <si>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</si>
  <si>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</si>
  <si>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</si>
  <si>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</si>
  <si>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</si>
  <si>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</si>
  <si>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</si>
  <si>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</si>
  <si>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</si>
  <si>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</si>
  <si>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</si>
  <si>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</si>
  <si>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</si>
  <si>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</si>
  <si>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</si>
  <si>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</si>
  <si>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</si>
  <si>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</si>
  <si>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</si>
  <si>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</si>
  <si>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</si>
  <si>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</si>
  <si>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</si>
  <si>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</si>
  <si>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</si>
  <si>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</si>
  <si>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</si>
  <si>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</si>
  <si>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</si>
  <si>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</si>
  <si>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</si>
  <si>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</si>
  <si>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</si>
  <si>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</si>
  <si>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</si>
  <si>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</si>
  <si>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</si>
  <si>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</si>
  <si>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</si>
  <si>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</si>
  <si>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</si>
  <si>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</si>
  <si>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</si>
  <si>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</si>
  <si>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</si>
  <si>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</si>
  <si>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</si>
  <si>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</si>
  <si>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</si>
  <si>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</si>
  <si>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</si>
  <si>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</si>
  <si>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</si>
  <si>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</si>
  <si>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</si>
  <si>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</si>
  <si>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</si>
  <si>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</si>
  <si>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</si>
  <si>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</si>
  <si>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</si>
  <si>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</si>
  <si>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</si>
  <si>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</si>
  <si>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</si>
  <si>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</si>
  <si>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</si>
  <si>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</si>
  <si>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</si>
  <si>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</si>
  <si>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</si>
  <si>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</si>
  <si>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</si>
  <si>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</si>
  <si>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</si>
  <si>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</si>
  <si>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</si>
  <si>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</si>
  <si>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</si>
  <si>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</si>
  <si>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</si>
  <si>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</si>
  <si>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</si>
  <si>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</si>
  <si>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</si>
  <si>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</si>
  <si>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</si>
  <si>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</si>
  <si>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</si>
  <si>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</si>
  <si>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</si>
  <si>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</si>
  <si>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</si>
  <si>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</si>
  <si>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</si>
  <si>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</si>
  <si>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</si>
  <si>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</si>
  <si>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</si>
  <si>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</si>
  <si>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</si>
  <si>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</si>
  <si>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</si>
  <si>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</si>
  <si>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</si>
  <si>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</si>
  <si>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</si>
  <si>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</si>
  <si>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</si>
  <si>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</si>
  <si>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</si>
  <si>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</si>
  <si>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</si>
  <si>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</si>
  <si>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</si>
  <si>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</si>
  <si>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</si>
  <si>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</si>
  <si>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</si>
  <si>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</si>
  <si>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</si>
  <si>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</si>
  <si>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</si>
  <si>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</si>
  <si>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</si>
  <si>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</si>
  <si>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</si>
  <si>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</si>
  <si>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</si>
  <si>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</si>
  <si>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</si>
  <si>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</si>
  <si>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</si>
  <si>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</si>
  <si>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</si>
  <si>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</si>
  <si>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</si>
  <si>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</si>
  <si>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</si>
  <si>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</si>
  <si>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</si>
  <si>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</si>
  <si>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</si>
  <si>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</si>
  <si>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</si>
  <si>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</si>
  <si>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</si>
  <si>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</si>
  <si>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</si>
  <si>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</si>
  <si>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</si>
  <si>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</si>
  <si>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</si>
  <si>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</si>
  <si>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</si>
  <si>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</si>
  <si>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</si>
  <si>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</si>
  <si>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</si>
  <si>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</si>
  <si>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</si>
  <si>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</si>
  <si>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</si>
  <si>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</si>
  <si>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</si>
  <si>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</si>
  <si>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</si>
  <si>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</si>
  <si>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</si>
  <si>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</si>
  <si>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</si>
  <si>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</si>
  <si>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</si>
  <si>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</si>
  <si>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</si>
  <si>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</si>
  <si>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</si>
  <si>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</si>
  <si>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</si>
  <si>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</si>
  <si>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</si>
  <si>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</si>
  <si>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</si>
  <si>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</si>
  <si>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</si>
  <si>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</si>
  <si>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</si>
  <si>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</si>
  <si>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</si>
  <si>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</si>
  <si>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</si>
  <si>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</si>
  <si>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</si>
  <si>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</si>
  <si>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</si>
  <si>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</si>
  <si>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</si>
  <si>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</si>
  <si>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</si>
  <si>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</si>
  <si>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</si>
  <si>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</si>
  <si>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</si>
  <si>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</si>
  <si>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</si>
  <si>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</si>
  <si>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</si>
  <si>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</si>
  <si>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</si>
  <si>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</si>
  <si>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</si>
  <si>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</si>
  <si>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</si>
  <si>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</si>
  <si>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</si>
  <si>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</si>
  <si>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</si>
  <si>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</si>
  <si>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</si>
  <si>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</si>
  <si>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</si>
  <si>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</si>
  <si>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</si>
  <si>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</si>
  <si>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</si>
  <si>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</si>
  <si>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</si>
  <si>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</si>
  <si>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</si>
  <si>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</si>
  <si>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</si>
  <si>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</si>
  <si>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</si>
  <si>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</si>
  <si>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</si>
  <si>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</si>
  <si>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</si>
  <si>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</si>
  <si>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</si>
  <si>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</si>
  <si>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</si>
  <si>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</si>
  <si>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</si>
  <si>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</si>
  <si>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</si>
  <si>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</si>
  <si>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</si>
  <si>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</si>
  <si>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</si>
  <si>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</si>
  <si>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</si>
  <si>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</si>
  <si>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</si>
  <si>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</si>
  <si>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</si>
  <si>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</si>
  <si>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</si>
  <si>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</si>
  <si>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</si>
  <si>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</si>
  <si>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</si>
  <si>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</si>
  <si>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</si>
  <si>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</si>
  <si>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</si>
  <si>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</si>
  <si>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</si>
  <si>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</si>
  <si>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</si>
  <si>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</si>
  <si>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</si>
  <si>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</si>
  <si>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</si>
  <si>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</si>
  <si>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</si>
  <si>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</si>
  <si>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</si>
  <si>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</si>
  <si>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</si>
  <si>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</si>
  <si>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</si>
  <si>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</si>
  <si>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</si>
  <si>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</si>
  <si>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</si>
  <si>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</si>
  <si>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</si>
  <si>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</si>
  <si>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</si>
  <si>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</si>
  <si>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</si>
  <si>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</si>
  <si>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</si>
  <si>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</si>
  <si>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</si>
  <si>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</si>
  <si>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</si>
  <si>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</si>
  <si>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</si>
  <si>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</si>
  <si>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</si>
  <si>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</si>
  <si>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</si>
  <si>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</si>
  <si>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</si>
  <si>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</si>
  <si>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</si>
  <si>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</si>
  <si>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</si>
  <si>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</si>
  <si>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</si>
  <si>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</si>
  <si>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</si>
  <si>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</si>
  <si>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</si>
  <si>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</si>
  <si>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</si>
  <si>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</si>
  <si>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</si>
  <si>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</si>
  <si>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</si>
  <si>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</si>
  <si>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</si>
  <si>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</si>
  <si>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</si>
  <si>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</si>
  <si>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</si>
  <si>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</si>
  <si>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</si>
  <si>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</si>
  <si>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</si>
  <si>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</si>
  <si>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</si>
  <si>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</si>
  <si>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</si>
  <si>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</si>
  <si>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</si>
  <si>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</si>
  <si>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</si>
  <si>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</si>
  <si>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</si>
  <si>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</si>
  <si>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</si>
  <si>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</si>
  <si>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</si>
  <si>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</si>
  <si>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</si>
  <si>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</si>
  <si>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</si>
  <si>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</si>
  <si>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</si>
  <si>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</si>
  <si>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</si>
  <si>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</si>
  <si>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</si>
  <si>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</si>
  <si>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</si>
  <si>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</si>
  <si>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</si>
  <si>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</si>
  <si>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</si>
  <si>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</si>
  <si>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</si>
  <si>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</si>
  <si>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</si>
  <si>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</si>
  <si>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</si>
  <si>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</si>
  <si>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</si>
  <si>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</si>
  <si>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</si>
  <si>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</si>
  <si>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</si>
  <si>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</si>
  <si>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</si>
  <si>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</si>
  <si>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</si>
  <si>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</si>
  <si>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</si>
  <si>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</si>
  <si>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</si>
  <si>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</si>
  <si>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</si>
  <si>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</si>
  <si>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</si>
  <si>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</si>
  <si>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</si>
  <si>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</si>
  <si>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</si>
  <si>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</si>
  <si>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</si>
  <si>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</si>
  <si>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</si>
  <si>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</si>
  <si>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</si>
  <si>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</si>
  <si>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</si>
  <si>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</si>
  <si>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</si>
  <si>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</si>
  <si>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</si>
  <si>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</si>
  <si>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</si>
  <si>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</si>
  <si>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</si>
  <si>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</si>
  <si>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</si>
  <si>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</si>
  <si>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</si>
  <si>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</si>
  <si>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</si>
  <si>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</si>
  <si>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</si>
  <si>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</si>
  <si>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</si>
  <si>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</si>
  <si>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</si>
  <si>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</si>
  <si>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</si>
  <si>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</si>
  <si>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</si>
  <si>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</si>
  <si>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</si>
  <si>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</si>
  <si>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</si>
  <si>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</si>
  <si>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</si>
  <si>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</si>
  <si>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</si>
  <si>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</si>
  <si>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</si>
  <si>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</si>
  <si>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</si>
  <si>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</si>
  <si>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</si>
  <si>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</si>
  <si>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</si>
  <si>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</si>
  <si>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</si>
  <si>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</si>
  <si>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</si>
  <si>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</si>
  <si>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</si>
  <si>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</si>
  <si>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</si>
  <si>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</si>
  <si>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</si>
  <si>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</si>
  <si>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</si>
  <si>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</si>
  <si>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</si>
  <si>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</si>
  <si>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</si>
  <si>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</si>
  <si>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</si>
  <si>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</si>
  <si>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</si>
  <si>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</si>
  <si>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</si>
  <si>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</si>
  <si>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</si>
  <si>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</si>
  <si>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</si>
  <si>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</si>
  <si>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</si>
  <si>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</si>
  <si>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</si>
  <si>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</si>
  <si>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</si>
  <si>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</si>
  <si>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</si>
  <si>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</si>
  <si>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</si>
  <si>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</si>
  <si>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</si>
  <si>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</si>
  <si>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</si>
  <si>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</si>
  <si>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</si>
  <si>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</si>
  <si>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</si>
  <si>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</si>
  <si>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</si>
  <si>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</si>
  <si>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</si>
  <si>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</si>
  <si>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</si>
  <si>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</si>
  <si>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</si>
  <si>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</si>
  <si>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</si>
  <si>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</si>
  <si>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</si>
  <si>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</si>
  <si>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</si>
  <si>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</si>
  <si>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</si>
  <si>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</si>
  <si>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</si>
  <si>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</si>
  <si>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</si>
  <si>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</si>
  <si>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</si>
  <si>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</si>
  <si>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</si>
  <si>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</si>
  <si>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</si>
  <si>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</si>
  <si>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</si>
  <si>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</si>
  <si>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</si>
  <si>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</si>
  <si>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</si>
  <si>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</si>
  <si>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</si>
  <si>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</si>
  <si>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</si>
  <si>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</si>
  <si>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</si>
  <si>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</si>
  <si>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</si>
  <si>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</si>
  <si>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</si>
  <si>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</si>
  <si>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</si>
  <si>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</si>
  <si>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</si>
  <si>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</si>
  <si>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</si>
  <si>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</si>
  <si>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</si>
  <si>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</si>
  <si>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</si>
  <si>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</si>
  <si>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</si>
  <si>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</si>
  <si>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</si>
  <si>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</si>
  <si>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</si>
  <si>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</si>
  <si>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</si>
  <si>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</si>
  <si>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</si>
  <si>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</si>
  <si>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</si>
  <si>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</si>
  <si>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</si>
  <si>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</si>
  <si>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</si>
  <si>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</si>
  <si>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</si>
  <si>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</si>
  <si>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</si>
  <si>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</si>
  <si>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</si>
  <si>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</si>
  <si>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</si>
  <si>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</si>
  <si>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</si>
  <si>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</si>
  <si>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</si>
  <si>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</si>
  <si>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</si>
  <si>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</si>
  <si>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</si>
  <si>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</si>
  <si>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</si>
  <si>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</si>
  <si>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</si>
  <si>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</si>
  <si>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</si>
  <si>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</si>
  <si>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</si>
  <si>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</si>
  <si>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</si>
  <si>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</si>
  <si>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</si>
  <si>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</si>
  <si>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</si>
  <si>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</si>
  <si>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</si>
  <si>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</si>
  <si>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</si>
  <si>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</si>
  <si>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</si>
  <si>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</si>
  <si>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</si>
  <si>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</si>
  <si>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</si>
  <si>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</si>
  <si>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</si>
  <si>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</si>
  <si>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</si>
  <si>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</si>
  <si>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</si>
  <si>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</si>
  <si>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</si>
  <si>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</si>
  <si>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</si>
  <si>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</si>
  <si>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</si>
  <si>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</si>
  <si>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</si>
  <si>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</si>
  <si>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</si>
  <si>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</si>
  <si>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</si>
  <si>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</si>
  <si>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</si>
  <si>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</si>
  <si>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</si>
  <si>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</si>
  <si>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</si>
  <si>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</si>
  <si>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</si>
  <si>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</si>
  <si>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</si>
  <si>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</si>
  <si>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</si>
  <si>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</si>
  <si>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</si>
  <si>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</si>
  <si>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</si>
  <si>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</si>
  <si>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</si>
  <si>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</si>
  <si>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</si>
  <si>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</si>
  <si>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</si>
  <si>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</si>
  <si>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</si>
  <si>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</si>
  <si>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</si>
  <si>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</si>
  <si>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</si>
  <si>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</si>
  <si>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</si>
  <si>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</si>
  <si>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</si>
  <si>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</si>
  <si>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</si>
  <si>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</si>
  <si>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</si>
  <si>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</si>
  <si>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</si>
  <si>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</si>
  <si>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</si>
  <si>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</si>
  <si>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</si>
  <si>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</si>
  <si>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</si>
  <si>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</si>
  <si>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</si>
  <si>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</si>
  <si>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</si>
  <si>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</si>
  <si>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</si>
  <si>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</si>
  <si>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</si>
  <si>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</si>
  <si>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</si>
  <si>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</si>
  <si>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</si>
  <si>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</si>
  <si>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</si>
  <si>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</si>
  <si>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</si>
  <si>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</si>
  <si>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</si>
  <si>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</si>
  <si>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</si>
  <si>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</si>
  <si>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</si>
  <si>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</si>
  <si>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</si>
  <si>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</si>
  <si>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</si>
  <si>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</si>
  <si>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</si>
  <si>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</si>
  <si>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</si>
  <si>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</si>
  <si>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</si>
  <si>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</si>
  <si>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</si>
  <si>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</si>
  <si>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</si>
  <si>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</si>
  <si>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</si>
  <si>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</si>
  <si>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</si>
  <si>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</si>
  <si>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</si>
  <si>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</si>
  <si>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</si>
  <si>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</si>
  <si>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</si>
  <si>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</si>
  <si>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</si>
  <si>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</si>
  <si>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</si>
  <si>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</si>
  <si>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</si>
  <si>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</si>
  <si>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</si>
  <si>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</si>
  <si>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</si>
  <si>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</si>
  <si>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</si>
  <si>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</si>
  <si>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</si>
  <si>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</si>
  <si>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</si>
  <si>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</si>
  <si>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</si>
  <si>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</si>
  <si>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</si>
  <si>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</si>
  <si>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</si>
  <si>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</si>
  <si>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</si>
  <si>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</si>
  <si>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</si>
  <si>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</si>
  <si>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</si>
  <si>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</si>
  <si>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</si>
  <si>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</si>
  <si>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</si>
  <si>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</si>
  <si>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</si>
  <si>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</si>
  <si>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</si>
  <si>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</si>
  <si>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</si>
  <si>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</si>
  <si>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</si>
  <si>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</si>
  <si>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</si>
  <si>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</si>
  <si>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</si>
  <si>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</si>
  <si>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</si>
  <si>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</si>
  <si>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</si>
  <si>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</si>
  <si>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</si>
  <si>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</si>
  <si>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</si>
  <si>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</si>
  <si>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</si>
  <si>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</si>
  <si>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</si>
  <si>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</si>
  <si>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</si>
  <si>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</si>
  <si>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</si>
  <si>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</si>
  <si>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</si>
  <si>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</si>
  <si>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</si>
  <si>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</si>
  <si>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</si>
  <si>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</si>
  <si>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</si>
  <si>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</si>
  <si>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</si>
  <si>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</si>
  <si>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</si>
  <si>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</si>
  <si>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</si>
  <si>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</si>
  <si>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</si>
  <si>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</si>
  <si>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</si>
  <si>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</si>
  <si>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</si>
  <si>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</si>
  <si>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</si>
  <si>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</si>
  <si>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</si>
  <si>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</si>
  <si>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</si>
  <si>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</si>
  <si>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</si>
  <si>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</si>
  <si>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</si>
  <si>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</si>
  <si>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</si>
  <si>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</si>
  <si>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</si>
  <si>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</si>
  <si>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</si>
  <si>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</si>
  <si>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</si>
  <si>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</si>
  <si>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</si>
  <si>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</si>
  <si>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</si>
  <si>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</si>
  <si>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</si>
  <si>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</si>
  <si>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</si>
  <si>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</si>
  <si>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</si>
  <si>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</si>
  <si>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</si>
  <si>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</si>
  <si>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</si>
  <si>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</si>
  <si>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</si>
  <si>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</si>
  <si>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</si>
  <si>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</si>
  <si>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</si>
  <si>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</si>
  <si>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</si>
  <si>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</si>
  <si>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</si>
  <si>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</si>
  <si>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</si>
  <si>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</si>
  <si>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</si>
  <si>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</si>
  <si>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</si>
  <si>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</si>
  <si>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</si>
  <si>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</si>
  <si>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</si>
  <si>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</si>
  <si>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</si>
  <si>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</si>
  <si>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</si>
  <si>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</si>
  <si>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</si>
  <si>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</si>
  <si>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</si>
  <si>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</si>
  <si>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</si>
  <si>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</si>
  <si>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</si>
  <si>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</si>
  <si>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</si>
  <si>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</si>
  <si>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</si>
  <si>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</si>
  <si>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</si>
  <si>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</si>
  <si>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</si>
  <si>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</si>
  <si>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</si>
  <si>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</si>
  <si>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</si>
  <si>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</si>
  <si>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</si>
  <si>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</si>
  <si>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</si>
  <si>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</si>
  <si>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</si>
  <si>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</si>
  <si>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</si>
  <si>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</si>
  <si>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</si>
  <si>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</si>
  <si>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</si>
  <si>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</si>
  <si>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</si>
  <si>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</si>
  <si>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</si>
  <si>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</si>
  <si>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</si>
  <si>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</si>
  <si>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</si>
  <si>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</si>
  <si>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</si>
  <si>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</si>
  <si>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</si>
  <si>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</si>
  <si>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</si>
  <si>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</si>
  <si>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</si>
  <si>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</si>
  <si>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</si>
  <si>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</si>
  <si>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</si>
  <si>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</si>
  <si>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</si>
  <si>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</si>
  <si>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</si>
  <si>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</si>
  <si>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</si>
  <si>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</si>
  <si>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</si>
  <si>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</si>
  <si>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</si>
  <si>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</si>
  <si>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</si>
  <si>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</si>
  <si>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</si>
  <si>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</si>
  <si>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</si>
  <si>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</si>
  <si>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</si>
  <si>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</si>
  <si>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</si>
  <si>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</si>
  <si>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</si>
  <si>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</si>
  <si>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</si>
  <si>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</si>
  <si>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</si>
  <si>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</si>
  <si>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</si>
  <si>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</si>
  <si>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</si>
  <si>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</si>
  <si>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</si>
  <si>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</si>
  <si>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</si>
  <si>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</si>
  <si>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</si>
  <si>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</si>
  <si>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</si>
  <si>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</si>
  <si>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</si>
  <si>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</si>
  <si>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</si>
  <si>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</si>
  <si>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</si>
  <si>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</si>
  <si>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</si>
  <si>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</si>
  <si>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</si>
  <si>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</si>
  <si>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</si>
  <si>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</si>
  <si>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</si>
  <si>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</si>
  <si>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</si>
  <si>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</si>
  <si>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</si>
  <si>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</si>
  <si>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</si>
  <si>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</si>
  <si>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</si>
  <si>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</si>
  <si>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</si>
  <si>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</si>
  <si>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</si>
  <si>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</si>
  <si>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</si>
  <si>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</si>
  <si>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</si>
  <si>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</si>
  <si>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</si>
  <si>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</si>
  <si>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</si>
  <si>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</si>
  <si>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</si>
  <si>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</si>
  <si>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</si>
  <si>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</si>
  <si>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</si>
  <si>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</si>
  <si>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</si>
  <si>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</si>
  <si>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</si>
  <si>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</si>
  <si>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</si>
  <si>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</si>
  <si>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</si>
  <si>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</si>
  <si>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</si>
  <si>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</si>
  <si>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</si>
  <si>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</si>
  <si>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</si>
  <si>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</si>
  <si>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</si>
  <si>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</si>
  <si>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</si>
  <si>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</si>
  <si>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</si>
  <si>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</si>
  <si>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</si>
  <si>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</si>
  <si>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</si>
  <si>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</si>
  <si>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</si>
  <si>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</si>
  <si>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</si>
  <si>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</si>
  <si>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</si>
  <si>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</si>
  <si>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</si>
  <si>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</si>
  <si>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</si>
  <si>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</si>
  <si>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</si>
  <si>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</si>
  <si>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</si>
  <si>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</si>
  <si>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</si>
  <si>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</si>
  <si>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</si>
  <si>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</si>
  <si>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</si>
  <si>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</si>
  <si>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</si>
  <si>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</si>
  <si>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</si>
  <si>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</si>
  <si>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</si>
  <si>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</si>
  <si>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</si>
  <si>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</si>
  <si>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</si>
  <si>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</si>
  <si>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</si>
  <si>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</si>
  <si>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</si>
  <si>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</si>
  <si>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</si>
  <si>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</si>
  <si>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</si>
  <si>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</si>
  <si>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</si>
  <si>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</si>
  <si>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</si>
  <si>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</si>
  <si>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</si>
  <si>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</si>
  <si>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</si>
  <si>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</si>
  <si>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</si>
  <si>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</si>
  <si>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</si>
  <si>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</si>
  <si>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</si>
  <si>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</si>
  <si>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</si>
  <si>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</si>
  <si>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</si>
  <si>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</si>
  <si>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</si>
  <si>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</si>
  <si>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</si>
  <si>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</si>
  <si>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</si>
  <si>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</si>
  <si>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</si>
  <si>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</si>
  <si>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</si>
  <si>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</si>
  <si>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</si>
  <si>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</si>
  <si>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</si>
  <si>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</si>
  <si>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</si>
  <si>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</si>
  <si>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</si>
  <si>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</si>
  <si>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</si>
  <si>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</si>
  <si>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</si>
  <si>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</si>
  <si>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</si>
  <si>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</si>
  <si>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</si>
  <si>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</si>
  <si>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</si>
  <si>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</si>
  <si>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</si>
  <si>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</si>
  <si>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</si>
  <si>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</si>
  <si>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</si>
  <si>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</si>
  <si>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</si>
  <si>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</si>
  <si>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</si>
  <si>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</si>
  <si>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</si>
  <si>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</si>
  <si>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</si>
  <si>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</si>
  <si>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</si>
  <si>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</si>
  <si>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</si>
  <si>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</si>
  <si>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</si>
  <si>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</si>
  <si>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</si>
  <si>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</si>
  <si>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</si>
  <si>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</si>
  <si>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</si>
  <si>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</si>
  <si>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</si>
  <si>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</si>
  <si>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</si>
  <si>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</si>
  <si>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</si>
  <si>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</si>
  <si>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</si>
  <si>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</si>
  <si>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</si>
  <si>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</si>
  <si>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</si>
  <si>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</si>
  <si>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</si>
  <si>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</si>
  <si>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</si>
  <si>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</si>
  <si>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</si>
  <si>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</si>
  <si>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</si>
  <si>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</si>
  <si>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</si>
  <si>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</si>
  <si>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</si>
  <si>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</si>
  <si>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</si>
  <si>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</si>
  <si>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</si>
  <si>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</si>
  <si>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</si>
  <si>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</si>
  <si>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</si>
  <si>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</si>
  <si>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</si>
  <si>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</si>
  <si>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</si>
  <si>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</si>
  <si>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</si>
  <si>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</si>
  <si>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</si>
  <si>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</si>
  <si>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</si>
  <si>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</si>
  <si>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</si>
  <si>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</si>
  <si>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</si>
  <si>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</si>
  <si>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</si>
  <si>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</si>
  <si>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</si>
  <si>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</si>
  <si>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</si>
  <si>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</si>
  <si>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</si>
  <si>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</si>
  <si>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</si>
  <si>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</si>
  <si>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</si>
  <si>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</si>
  <si>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</si>
  <si>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</si>
  <si>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</si>
  <si>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</si>
  <si>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</si>
  <si>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</si>
  <si>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</si>
  <si>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</si>
  <si>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</si>
  <si>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</si>
  <si>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</si>
  <si>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</si>
  <si>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</si>
  <si>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</si>
  <si>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</si>
  <si>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</si>
  <si>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</si>
  <si>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</si>
  <si>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</si>
  <si>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</si>
  <si>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</si>
  <si>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</si>
  <si>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</si>
  <si>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</si>
  <si>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</si>
  <si>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</si>
  <si>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</si>
  <si>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</si>
  <si>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</si>
  <si>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</si>
  <si>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</si>
  <si>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</si>
  <si>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</si>
  <si>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</si>
  <si>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</si>
  <si>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</si>
  <si>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</si>
  <si>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</si>
  <si>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</si>
  <si>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</si>
  <si>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</si>
  <si>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</si>
  <si>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</si>
  <si>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</si>
  <si>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</si>
  <si>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</si>
  <si>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</si>
  <si>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</si>
  <si>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</si>
  <si>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</si>
  <si>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</si>
  <si>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</si>
  <si>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</si>
  <si>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</si>
  <si>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</si>
  <si>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</si>
  <si>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</si>
  <si>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</si>
  <si>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</si>
  <si>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</si>
  <si>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</si>
  <si>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</si>
  <si>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</si>
  <si>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</si>
  <si>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</si>
  <si>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</si>
  <si>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</si>
  <si>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</si>
  <si>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</si>
  <si>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</si>
  <si>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</si>
  <si>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</si>
  <si>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</si>
  <si>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</si>
  <si>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</si>
  <si>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</si>
  <si>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</si>
  <si>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</si>
  <si>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</si>
  <si>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</si>
  <si>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</si>
  <si>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</si>
  <si>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</si>
  <si>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</si>
  <si>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</si>
  <si>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</si>
  <si>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</si>
  <si>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</si>
  <si>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</si>
  <si>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</si>
  <si>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</si>
  <si>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</si>
  <si>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</si>
  <si>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</si>
  <si>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</si>
  <si>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</si>
  <si>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</si>
  <si>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</si>
  <si>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</si>
  <si>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</si>
  <si>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</si>
  <si>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</si>
  <si>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</si>
  <si>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</si>
  <si>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</si>
  <si>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</si>
  <si>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</si>
  <si>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</si>
  <si>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</si>
  <si>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</si>
  <si>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</si>
  <si>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</si>
  <si>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</si>
  <si>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</si>
  <si>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</si>
  <si>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</si>
  <si>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</si>
  <si>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</si>
  <si>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</si>
  <si>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</si>
  <si>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</si>
  <si>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</si>
  <si>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</si>
  <si>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</si>
  <si>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</si>
  <si>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</si>
  <si>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</si>
  <si>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</si>
  <si>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</si>
  <si>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</si>
  <si>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</si>
  <si>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</si>
  <si>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</si>
  <si>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</si>
  <si>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</si>
  <si>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</si>
  <si>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</si>
  <si>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</si>
  <si>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</si>
  <si>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</si>
  <si>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</si>
  <si>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</si>
  <si>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</si>
  <si>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</si>
  <si>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</si>
  <si>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</si>
  <si>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</si>
  <si>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</si>
  <si>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</si>
  <si>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</si>
  <si>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</si>
  <si>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</si>
  <si>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</si>
  <si>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</si>
  <si>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</si>
  <si>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</si>
  <si>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</si>
  <si>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</si>
  <si>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</si>
  <si>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</si>
  <si>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</si>
  <si>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</si>
  <si>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</si>
  <si>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</si>
  <si>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</si>
  <si>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</si>
  <si>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</si>
  <si>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</si>
  <si>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</si>
  <si>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</si>
  <si>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</si>
  <si>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</si>
  <si>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</si>
  <si>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</si>
  <si>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</si>
  <si>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</si>
  <si>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</si>
  <si>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</si>
  <si>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</si>
  <si>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</si>
  <si>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</si>
  <si>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</si>
  <si>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</si>
  <si>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</si>
  <si>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</si>
  <si>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</si>
  <si>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</si>
  <si>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</si>
  <si>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</si>
  <si>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</si>
  <si>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</si>
  <si>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</si>
  <si>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</si>
  <si>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</si>
  <si>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</si>
  <si>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</si>
  <si>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</si>
  <si>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</si>
  <si>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</si>
  <si>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</si>
  <si>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</si>
  <si>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</si>
  <si>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</si>
  <si>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</si>
  <si>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</si>
  <si>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</si>
  <si>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</si>
  <si>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</si>
  <si>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</si>
  <si>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</si>
  <si>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</si>
  <si>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</si>
  <si>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</si>
  <si>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</si>
  <si>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</si>
  <si>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</si>
  <si>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</si>
  <si>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</si>
  <si>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</si>
  <si>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</si>
  <si>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</si>
  <si>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</si>
  <si>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</si>
  <si>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</si>
  <si>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</si>
  <si>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</si>
  <si>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</si>
  <si>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</si>
  <si>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</si>
  <si>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</si>
  <si>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</si>
  <si>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</si>
  <si>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</si>
  <si>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</si>
  <si>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</si>
  <si>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</si>
  <si>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</si>
  <si>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</si>
  <si>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</si>
  <si>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</si>
  <si>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</si>
  <si>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</si>
  <si>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</si>
  <si>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</si>
  <si>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</si>
  <si>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</si>
  <si>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</si>
  <si>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</si>
  <si>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</si>
  <si>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</si>
  <si>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</si>
  <si>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</si>
  <si>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</si>
  <si>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</si>
  <si>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</si>
  <si>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</si>
  <si>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</si>
  <si>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</si>
  <si>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</si>
  <si>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</si>
  <si>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</si>
  <si>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</si>
  <si>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</si>
  <si>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</si>
  <si>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</si>
  <si>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</si>
  <si>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</si>
  <si>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</si>
  <si>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</si>
  <si>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</si>
  <si>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</si>
  <si>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</si>
  <si>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</si>
  <si>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</si>
  <si>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</si>
  <si>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</si>
  <si>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</si>
  <si>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</si>
  <si>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</si>
  <si>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</si>
  <si>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</si>
  <si>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</si>
  <si>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</si>
  <si>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</si>
  <si>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</si>
  <si>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</si>
  <si>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</si>
  <si>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</si>
  <si>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</si>
  <si>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</si>
  <si>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</si>
  <si>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</si>
  <si>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</si>
  <si>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</si>
  <si>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</si>
  <si>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</si>
  <si>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</si>
  <si>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</si>
  <si>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</si>
  <si>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</si>
  <si>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</si>
  <si>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</si>
  <si>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</si>
  <si>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</si>
  <si>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</si>
  <si>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</si>
  <si>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</si>
  <si>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</si>
  <si>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</si>
  <si>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</si>
  <si>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</si>
  <si>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</si>
  <si>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</si>
  <si>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</si>
  <si>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</si>
  <si>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</si>
  <si>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</si>
  <si>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</si>
  <si>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</si>
  <si>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</si>
  <si>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</si>
  <si>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</si>
  <si>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</si>
  <si>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</si>
  <si>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</si>
  <si>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</si>
  <si>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</si>
  <si>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</si>
  <si>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</si>
  <si>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</si>
  <si>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</si>
  <si>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</si>
  <si>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</si>
  <si>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</si>
  <si>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</si>
  <si>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</si>
  <si>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</si>
  <si>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</si>
  <si>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</si>
  <si>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</si>
  <si>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</si>
  <si>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</si>
  <si>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</si>
  <si>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</si>
  <si>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</si>
  <si>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</si>
  <si>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</si>
  <si>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</si>
  <si>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</si>
  <si>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</si>
  <si>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</si>
  <si>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</si>
  <si>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</si>
  <si>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</si>
  <si>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</si>
  <si>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</si>
  <si>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</si>
  <si>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</si>
  <si>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</si>
  <si>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</si>
  <si>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</si>
  <si>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</si>
  <si>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</si>
  <si>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</si>
  <si>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</si>
  <si>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</si>
  <si>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</si>
  <si>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</si>
  <si>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</si>
  <si>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</si>
  <si>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</si>
  <si>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</si>
  <si>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</si>
  <si>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</si>
  <si>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</si>
  <si>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</si>
  <si>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</si>
  <si>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</si>
  <si>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</si>
  <si>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</si>
  <si>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</si>
  <si>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</si>
  <si>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</si>
  <si>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</si>
  <si>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</si>
  <si>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</si>
  <si>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</si>
  <si>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</si>
  <si>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</si>
  <si>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</si>
  <si>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</si>
  <si>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</si>
  <si>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</si>
  <si>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</si>
  <si>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</si>
  <si>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</si>
  <si>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</si>
  <si>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</si>
  <si>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</si>
  <si>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</si>
  <si>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</si>
  <si>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</si>
  <si>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</si>
  <si>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</si>
  <si>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</si>
  <si>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</si>
  <si>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</si>
  <si>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</si>
  <si>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</si>
  <si>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</si>
  <si>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</si>
  <si>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</si>
  <si>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</si>
  <si>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</si>
  <si>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</si>
  <si>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</si>
  <si>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</si>
  <si>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</si>
  <si>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</si>
  <si>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</si>
  <si>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</si>
  <si>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</si>
  <si>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</si>
  <si>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</si>
  <si>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</si>
  <si>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</si>
  <si>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</si>
  <si>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</si>
  <si>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</si>
  <si>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</si>
  <si>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</si>
  <si>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</si>
  <si>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</si>
  <si>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</si>
  <si>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</si>
  <si>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</si>
  <si>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</si>
  <si>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</si>
  <si>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</si>
  <si>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</si>
  <si>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</si>
  <si>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</si>
  <si>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</si>
  <si>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</si>
  <si>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</si>
  <si>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</si>
  <si>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</si>
  <si>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</si>
  <si>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</si>
  <si>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</si>
  <si>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</si>
  <si>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</si>
  <si>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</si>
  <si>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</si>
  <si>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</si>
  <si>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</si>
  <si>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</si>
  <si>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</si>
  <si>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</si>
  <si>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</si>
  <si>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</si>
  <si>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</si>
  <si>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</si>
  <si>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</si>
  <si>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</si>
  <si>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</si>
  <si>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</si>
  <si>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</si>
  <si>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</si>
  <si>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</si>
  <si>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</si>
  <si>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</si>
  <si>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</si>
  <si>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</si>
  <si>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</si>
  <si>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</si>
  <si>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</si>
  <si>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</si>
  <si>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</si>
  <si>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</si>
  <si>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</si>
  <si>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</si>
  <si>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</si>
  <si>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</si>
  <si>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</si>
  <si>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</si>
  <si>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</si>
  <si>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</si>
  <si>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</si>
  <si>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</si>
  <si>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</si>
  <si>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</si>
  <si>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</si>
  <si>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</si>
  <si>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</si>
  <si>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</si>
  <si>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</si>
  <si>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</si>
  <si>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</si>
  <si>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</si>
  <si>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</si>
  <si>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</si>
  <si>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</si>
  <si>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</si>
  <si>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</si>
  <si>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</si>
  <si>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</si>
  <si>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</si>
  <si>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</si>
  <si>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</si>
  <si>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</si>
  <si>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</si>
  <si>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</si>
  <si>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</si>
  <si>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</si>
  <si>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</si>
  <si>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</si>
  <si>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</si>
  <si>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</si>
  <si>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</si>
  <si>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</si>
  <si>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</si>
  <si>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</si>
  <si>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</si>
  <si>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</si>
  <si>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</si>
  <si>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</si>
  <si>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</si>
  <si>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</si>
  <si>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</si>
  <si>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</si>
  <si>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</si>
  <si>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</si>
  <si>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</si>
  <si>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</si>
  <si>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</si>
  <si>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</si>
  <si>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</si>
  <si>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</si>
  <si>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</si>
  <si>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</si>
  <si>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</si>
  <si>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</si>
  <si>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</si>
  <si>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</si>
  <si>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</si>
  <si>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</si>
  <si>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</si>
  <si>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</si>
  <si>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</si>
  <si>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</si>
  <si>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</si>
  <si>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</si>
  <si>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</si>
  <si>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</si>
  <si>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</si>
  <si>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</si>
  <si>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</si>
  <si>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</si>
  <si>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</si>
  <si>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</si>
  <si>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</si>
  <si>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</si>
  <si>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</si>
  <si>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</si>
  <si>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</si>
  <si>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</si>
  <si>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</si>
  <si>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</si>
  <si>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</si>
  <si>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</si>
  <si>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</si>
  <si>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</si>
  <si>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</si>
  <si>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</si>
  <si>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</si>
  <si>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</si>
  <si>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</si>
  <si>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</si>
  <si>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</si>
  <si>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</si>
  <si>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</si>
  <si>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</si>
  <si>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</si>
  <si>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</si>
  <si>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</si>
  <si>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</si>
  <si>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</si>
  <si>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</si>
  <si>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</si>
  <si>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</si>
  <si>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</si>
  <si>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</si>
  <si>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</si>
  <si>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</si>
  <si>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</si>
  <si>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</si>
  <si>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</si>
  <si>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</si>
  <si>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</si>
  <si>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</si>
  <si>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</si>
  <si>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</si>
  <si>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</si>
  <si>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</si>
  <si>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</si>
  <si>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</si>
  <si>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</si>
  <si>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</si>
  <si>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</si>
  <si>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</si>
  <si>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</si>
  <si>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</si>
  <si>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</si>
  <si>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</si>
  <si>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</si>
  <si>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</si>
  <si>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</si>
  <si>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</si>
  <si>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</si>
  <si>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</si>
  <si>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</si>
  <si>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</si>
  <si>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</si>
  <si>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</si>
  <si>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</si>
  <si>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</si>
  <si>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</si>
  <si>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</si>
  <si>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</si>
  <si>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</si>
  <si>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</si>
  <si>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</si>
  <si>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</si>
  <si>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</si>
  <si>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</si>
  <si>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</si>
  <si>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</si>
  <si>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</si>
  <si>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</si>
  <si>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</si>
  <si>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</si>
  <si>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</si>
  <si>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</si>
  <si>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</si>
  <si>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</si>
  <si>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</si>
  <si>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</si>
  <si>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</si>
  <si>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</si>
  <si>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</si>
  <si>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</si>
  <si>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</si>
  <si>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</si>
  <si>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</si>
  <si>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</si>
  <si>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</si>
  <si>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</si>
  <si>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</si>
  <si>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</si>
  <si>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</si>
  <si>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</si>
  <si>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</si>
  <si>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</si>
  <si>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</si>
  <si>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</si>
  <si>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</si>
  <si>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</si>
  <si>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</si>
  <si>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</si>
  <si>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</si>
  <si>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</si>
  <si>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</si>
  <si>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</si>
  <si>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</si>
  <si>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</si>
  <si>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</si>
  <si>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</si>
  <si>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</si>
  <si>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</si>
  <si>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</si>
  <si>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</si>
  <si>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</si>
  <si>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</si>
  <si>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</si>
  <si>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</si>
  <si>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</si>
  <si>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</si>
  <si>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</si>
  <si>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</si>
  <si>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</si>
  <si>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</si>
  <si>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</si>
  <si>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</si>
  <si>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</si>
  <si>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</si>
  <si>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</si>
  <si>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</si>
  <si>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</si>
  <si>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</si>
  <si>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</si>
  <si>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</si>
  <si>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</si>
  <si>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</si>
  <si>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</si>
  <si>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</si>
  <si>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</si>
  <si>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</si>
  <si>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</si>
  <si>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</si>
  <si>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</si>
  <si>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</si>
  <si>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</si>
  <si>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</si>
  <si>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</si>
  <si>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</si>
  <si>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</si>
  <si>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</si>
  <si>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</si>
  <si>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</si>
  <si>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</si>
  <si>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</si>
  <si>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</si>
  <si>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</si>
  <si>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</si>
  <si>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</si>
  <si>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</si>
  <si>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</si>
  <si>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</si>
  <si>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</si>
  <si>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</si>
  <si>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</si>
  <si>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</si>
  <si>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</si>
  <si>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</si>
  <si>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</si>
  <si>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</si>
  <si>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</si>
  <si>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</si>
  <si>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</si>
  <si>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</si>
  <si>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</si>
  <si>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</si>
  <si>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</si>
  <si>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</si>
  <si>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</si>
  <si>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</si>
  <si>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</si>
  <si>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</si>
  <si>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</si>
  <si>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</si>
  <si>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</si>
  <si>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</si>
  <si>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</si>
  <si>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</si>
  <si>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</si>
  <si>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</si>
  <si>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</si>
  <si>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</si>
  <si>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</si>
  <si>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</si>
  <si>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</si>
  <si>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</si>
  <si>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</si>
  <si>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</si>
  <si>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</si>
  <si>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</si>
  <si>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</si>
  <si>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</si>
  <si>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</si>
  <si>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</si>
  <si>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</si>
  <si>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</si>
  <si>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</si>
  <si>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</si>
  <si>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</si>
  <si>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</si>
  <si>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</si>
  <si>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</si>
  <si>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</si>
  <si>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</si>
  <si>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</si>
  <si>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</si>
  <si>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</si>
  <si>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</si>
  <si>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</si>
  <si>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</si>
  <si>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</si>
  <si>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</si>
  <si>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</si>
  <si>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</si>
  <si>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</si>
  <si>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</si>
  <si>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</si>
  <si>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</si>
  <si>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</si>
  <si>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</si>
  <si>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</si>
  <si>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</si>
  <si>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</si>
  <si>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</si>
  <si>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</si>
  <si>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</si>
  <si>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</si>
  <si>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</si>
  <si>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</si>
  <si>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</si>
  <si>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</si>
  <si>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</si>
  <si>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</si>
  <si>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</si>
  <si>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</si>
  <si>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</si>
  <si>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</si>
  <si>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</si>
  <si>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</si>
  <si>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</si>
  <si>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</si>
  <si>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</si>
  <si>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</si>
  <si>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</si>
  <si>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</si>
  <si>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</si>
  <si>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</si>
  <si>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</si>
  <si>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</si>
  <si>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</si>
  <si>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</si>
  <si>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</si>
  <si>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</si>
  <si>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</si>
  <si>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</si>
  <si>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</si>
  <si>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</si>
  <si>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</si>
  <si>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</si>
  <si>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</si>
  <si>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</si>
  <si>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</si>
  <si>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</si>
  <si>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</si>
  <si>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</si>
  <si>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</si>
  <si>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</si>
  <si>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</si>
  <si>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</si>
  <si>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</si>
  <si>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</si>
  <si>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</si>
  <si>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</si>
  <si>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</si>
  <si>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</si>
  <si>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</si>
  <si>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</si>
  <si>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</si>
  <si>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</si>
  <si>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</si>
  <si>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</si>
  <si>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</si>
  <si>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</si>
  <si>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</si>
  <si>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</si>
  <si>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</si>
  <si>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</si>
  <si>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</si>
  <si>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</si>
  <si>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</si>
  <si>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</si>
  <si>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</si>
  <si>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</si>
  <si>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</si>
  <si>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</si>
  <si>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</si>
  <si>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</si>
  <si>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</si>
  <si>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</si>
  <si>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</si>
  <si>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</si>
  <si>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</si>
  <si>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</si>
  <si>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</si>
  <si>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</si>
  <si>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</si>
  <si>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</si>
  <si>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</si>
  <si>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</si>
  <si>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</si>
  <si>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</si>
  <si>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</si>
  <si>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</si>
  <si>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</si>
  <si>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</si>
  <si>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</si>
  <si>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</si>
  <si>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</si>
  <si>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</si>
  <si>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</si>
  <si>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</si>
  <si>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</si>
  <si>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</si>
  <si>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</si>
  <si>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</si>
  <si>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</si>
  <si>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</si>
  <si>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</si>
  <si>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</si>
  <si>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</si>
  <si>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</si>
  <si>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</si>
  <si>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</si>
  <si>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</si>
  <si>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</si>
  <si>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</si>
  <si>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</si>
  <si>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</si>
  <si>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</si>
  <si>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</si>
  <si>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</si>
  <si>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</si>
  <si>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</si>
  <si>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</si>
  <si>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</si>
  <si>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</si>
  <si>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</si>
  <si>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</si>
  <si>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</si>
  <si>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</si>
  <si>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</si>
  <si>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</si>
  <si>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</si>
  <si>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</si>
  <si>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</si>
  <si>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</si>
  <si>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</si>
  <si>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</si>
  <si>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</si>
  <si>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</si>
  <si>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</si>
  <si>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</si>
  <si>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</si>
  <si>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</si>
  <si>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</si>
  <si>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</si>
  <si>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</si>
  <si>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</si>
  <si>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</si>
  <si>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</si>
  <si>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</si>
  <si>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</si>
  <si>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</si>
  <si>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</si>
  <si>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</si>
  <si>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</si>
  <si>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</si>
  <si>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</si>
  <si>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</si>
  <si>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</si>
  <si>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</si>
  <si>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</si>
  <si>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</si>
  <si>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</si>
  <si>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</si>
  <si>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</si>
  <si>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</si>
  <si>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</si>
  <si>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</si>
  <si>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</si>
  <si>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</si>
  <si>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</si>
  <si>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</si>
  <si>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</si>
  <si>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</si>
  <si>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</si>
  <si>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</si>
  <si>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</si>
  <si>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</si>
  <si>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</si>
  <si>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</si>
  <si>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</si>
  <si>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</si>
  <si>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</si>
  <si>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</si>
  <si>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</si>
  <si>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</si>
  <si>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</si>
  <si>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</si>
  <si>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</si>
  <si>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</si>
  <si>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</si>
  <si>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</si>
  <si>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</si>
  <si>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</si>
  <si>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</si>
  <si>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</si>
  <si>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</si>
  <si>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</si>
  <si>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</si>
  <si>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</si>
  <si>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</si>
  <si>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</si>
  <si>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</si>
  <si>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</si>
  <si>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</si>
  <si>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</si>
  <si>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</si>
  <si>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</si>
  <si>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</si>
  <si>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</si>
  <si>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</si>
  <si>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</si>
  <si>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</si>
  <si>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</si>
  <si>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</si>
  <si>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</si>
  <si>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</si>
  <si>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</si>
  <si>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</si>
  <si>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</si>
  <si>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</si>
  <si>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</si>
  <si>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</si>
  <si>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</si>
  <si>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</si>
  <si>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</si>
  <si>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</si>
  <si>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</si>
  <si>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</si>
  <si>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</si>
  <si>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</si>
  <si>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</si>
  <si>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</si>
  <si>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</si>
  <si>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</si>
  <si>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</si>
  <si>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</si>
  <si>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</si>
  <si>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</si>
  <si>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</si>
  <si>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</si>
  <si>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</si>
  <si>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</si>
  <si>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</si>
  <si>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</si>
  <si>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</si>
  <si>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</si>
  <si>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</si>
  <si>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</si>
  <si>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</si>
  <si>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</si>
  <si>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</si>
  <si>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</si>
  <si>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</si>
  <si>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</si>
  <si>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</si>
  <si>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</si>
  <si>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</si>
  <si>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</si>
  <si>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</si>
  <si>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</si>
  <si>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</si>
  <si>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</si>
  <si>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</si>
  <si>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</si>
  <si>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</si>
  <si>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</si>
  <si>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</si>
  <si>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</si>
  <si>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</si>
  <si>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</si>
  <si>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</si>
  <si>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</si>
  <si>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</si>
  <si>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</si>
  <si>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</si>
  <si>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</si>
  <si>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</si>
  <si>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</si>
  <si>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</si>
  <si>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</si>
  <si>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</si>
  <si>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</si>
  <si>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</si>
  <si>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</si>
  <si>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</si>
  <si>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</si>
  <si>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</si>
  <si>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</si>
  <si>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</si>
  <si>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</si>
  <si>
    <t>Count of Order ID</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</si>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</sst>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xf numFmtId="0" fontId="0" fillId="0" borderId="0" xfId="0" applyNumberFormat="1"/>
  </cellXfs>
  <cellStyles count="1">
    <cellStyle name="Normal" xfId="0" builtinId="0"/>
  </cellStyles>
  <dxfs count="23">
    <dxf>
      <font>
        <sz val="11"/>
        <color theme="0"/>
        <name val="Calibri"/>
        <family val="2"/>
        <scheme val="minor"/>
      </font>
    </dxf>
    <dxf>
      <font>
        <color theme="0"/>
      </font>
      <fill>
        <gradientFill type="path" left="0.5" right="0.5" top="0.5" bottom="0.5">
          <stop position="0">
            <color theme="1" tint="0.34900967436750391"/>
          </stop>
          <stop position="1">
            <color theme="1" tint="0.1490218817712943"/>
          </stop>
        </gradientFill>
      </fill>
      <border>
        <left style="thin">
          <color theme="1" tint="-0.499984740745262"/>
        </left>
        <right style="thin">
          <color theme="1" tint="-0.499984740745262"/>
        </right>
        <top style="thin">
          <color theme="1" tint="-0.499984740745262"/>
        </top>
        <bottom style="thin">
          <color theme="1" tint="-0.499984740745262"/>
        </bottom>
      </border>
    </dxf>
    <dxf>
      <font>
        <b/>
        <i val="0"/>
        <color theme="2" tint="-0.89992980742820516"/>
      </font>
    </dxf>
    <dxf>
      <font>
        <color theme="0"/>
      </font>
      <fill>
        <gradientFill type="path" left="0.5" right="0.5" top="0.5" bottom="0.5">
          <stop position="0">
            <color theme="1" tint="0.34900967436750391"/>
          </stop>
          <stop position="1">
            <color theme="2" tint="-0.74901577806939912"/>
          </stop>
        </gradientFill>
      </fill>
      <border diagonalUp="0" diagonalDown="0">
        <left style="hair">
          <color auto="1"/>
        </left>
        <right style="hair">
          <color auto="1"/>
        </right>
        <top style="hair">
          <color auto="1"/>
        </top>
        <bottom style="hair">
          <color auto="1"/>
        </bottom>
        <vertical/>
        <horizontal/>
      </border>
    </dxf>
    <dxf>
      <font>
        <b/>
        <sz val="11"/>
        <color theme="1"/>
      </font>
    </dxf>
    <dxf>
      <font>
        <color theme="1" tint="4.9989318521683403E-2"/>
      </font>
      <fill>
        <patternFill patternType="solid">
          <fgColor theme="0"/>
          <bgColor theme="9"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name val="Aptos Display"/>
        <family val="2"/>
        <scheme val="none"/>
      </font>
      <fill>
        <patternFill>
          <bgColor theme="5" tint="0.39994506668294322"/>
        </patternFill>
      </fill>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6" defaultTableStyle="TableStyleMedium2" defaultPivotStyle="PivotStyleMedium9">
    <tableStyle name="Purple Slicer" pivot="0" table="0" count="6" xr9:uid="{0D6A57F5-F81C-452B-8ED5-5EFFEB47873E}">
      <tableStyleElement type="wholeTable" dxfId="22"/>
      <tableStyleElement type="headerRow" dxfId="21"/>
    </tableStyle>
    <tableStyle name="Purple Timeline Style" pivot="0" table="0" count="8" xr9:uid="{2BCDEBA7-DFDF-4FE1-9353-EF4303F16C40}">
      <tableStyleElement type="wholeTable" dxfId="20"/>
      <tableStyleElement type="headerRow" dxfId="19"/>
    </tableStyle>
    <tableStyle name="Slicer Style 1" pivot="0" table="0" count="1" xr9:uid="{968646CE-22E3-434E-8E31-B577FCCC3521}">
      <tableStyleElement type="wholeTable" dxfId="6"/>
    </tableStyle>
    <tableStyle name="Slicer Style 2" pivot="0" table="0" count="2" xr9:uid="{57E4C2FB-45FA-4B0C-A004-474ABD83CAA1}">
      <tableStyleElement type="wholeTable" dxfId="3"/>
      <tableStyleElement type="headerRow" dxfId="2"/>
    </tableStyle>
    <tableStyle name="Timeline Style 1" pivot="0" table="0" count="8" xr9:uid="{8F69E8D2-78EB-4494-9B01-3B75DE1C7609}">
      <tableStyleElement type="wholeTable" dxfId="5"/>
      <tableStyleElement type="headerRow" dxfId="4"/>
    </tableStyle>
    <tableStyle name="Timeline Style 2" pivot="0" table="0" count="8" xr9:uid="{9F3091FF-B966-48A7-A94A-750322C7E63B}">
      <tableStyleElement type="wholeTable" dxfId="1"/>
      <tableStyleElement type="headerRow" dxfId="0"/>
    </tableStyle>
  </tableStyles>
  <colors>
    <mruColors>
      <color rgb="FFE0CBF5"/>
      <color rgb="FF3C1464"/>
      <color rgb="FFAFFFD3"/>
      <color rgb="FF00EE6C"/>
      <color rgb="FF005024"/>
      <color rgb="FF9650DC"/>
      <color rgb="FF97450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 Style 1"/>
        <x14:slicerStyle name="Slicer Style 2"/>
      </x14:slicerStyles>
    </ext>
    <ext xmlns:x15="http://schemas.microsoft.com/office/spreadsheetml/2010/11/main" uri="{A0A4C193-F2C1-4fcb-8827-314CF55A85BB}">
      <x15:dxfs count="42">
        <dxf>
          <fill>
            <patternFill patternType="solid">
              <fgColor theme="0" tint="-0.14999847407452621"/>
              <bgColor theme="0" tint="-0.14999847407452621"/>
            </patternFill>
          </fill>
        </dxf>
        <dxf>
          <fill>
            <patternFill patternType="solid">
              <fgColor theme="0"/>
              <bgColor theme="4" tint="-0.24994659260841701"/>
            </patternFill>
          </fill>
        </dxf>
        <dxf>
          <font>
            <sz val="9"/>
            <color theme="0"/>
            <name val="Calibri"/>
            <family val="2"/>
            <scheme val="minor"/>
          </font>
        </dxf>
        <dxf>
          <font>
            <sz val="9"/>
            <color theme="0"/>
            <name val="Calibri"/>
            <family val="2"/>
            <scheme val="minor"/>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4" tint="-0.24994659260841701"/>
            </patternFill>
          </fill>
        </dxf>
        <dxf>
          <font>
            <sz val="9"/>
            <color theme="0"/>
            <name val="Calibri"/>
            <family val="2"/>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41"/>
            <x15:timelineStyleElement type="timeLevel" dxfId="40"/>
            <x15:timelineStyleElement type="periodLabel1" dxfId="39"/>
            <x15:timelineStyleElement type="periodLabel2" dxfId="38"/>
            <x15:timelineStyleElement type="selectedTimeBlock" dxfId="37"/>
            <x15:timelineStyleElement type="unselectedTimeBlock" dxfId="36"/>
          </x15:timelineStyleElements>
        </x15:timelineStyle>
        <x15:timelineStyle name="Timeline Style 1">
          <x15:timelineStyleElements>
            <x15:timelineStyleElement type="selectionLabel" dxfId="35"/>
            <x15:timelineStyleElement type="timeLevel" dxfId="34"/>
            <x15:timelineStyleElement type="periodLabel1" dxfId="33"/>
            <x15:timelineStyleElement type="periodLabel2" dxfId="32"/>
            <x15:timelineStyleElement type="selectedTimeBlock" dxfId="31"/>
            <x15:timelineStyleElement type="unselectedTimeBlock" dxfId="30"/>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6"/>
            </a:solidFill>
            <a:round/>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TotalSales!$C$5:$C$44</c:f>
              <c:numCache>
                <c:formatCode>#,##0</c:formatCode>
                <c:ptCount val="40"/>
                <c:pt idx="1">
                  <c:v>7.77</c:v>
                </c:pt>
                <c:pt idx="3">
                  <c:v>38.849999999999994</c:v>
                </c:pt>
                <c:pt idx="6">
                  <c:v>23.31</c:v>
                </c:pt>
                <c:pt idx="12">
                  <c:v>15.54</c:v>
                </c:pt>
                <c:pt idx="13">
                  <c:v>46.62</c:v>
                </c:pt>
                <c:pt idx="20">
                  <c:v>38.849999999999994</c:v>
                </c:pt>
                <c:pt idx="22">
                  <c:v>23.31</c:v>
                </c:pt>
                <c:pt idx="23">
                  <c:v>85.47</c:v>
                </c:pt>
                <c:pt idx="26">
                  <c:v>23.31</c:v>
                </c:pt>
                <c:pt idx="27">
                  <c:v>23.31</c:v>
                </c:pt>
                <c:pt idx="28">
                  <c:v>31.08</c:v>
                </c:pt>
                <c:pt idx="33">
                  <c:v>23.31</c:v>
                </c:pt>
                <c:pt idx="34">
                  <c:v>23.31</c:v>
                </c:pt>
                <c:pt idx="36">
                  <c:v>15.54</c:v>
                </c:pt>
                <c:pt idx="37">
                  <c:v>46.62</c:v>
                </c:pt>
                <c:pt idx="38">
                  <c:v>46.62</c:v>
                </c:pt>
                <c:pt idx="39">
                  <c:v>31.08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TotalSales!$D$5:$D$44</c:f>
              <c:numCache>
                <c:formatCode>#,##0</c:formatCode>
                <c:ptCount val="40"/>
                <c:pt idx="0">
                  <c:v>124.74000000000001</c:v>
                </c:pt>
                <c:pt idx="1">
                  <c:v>8.91</c:v>
                </c:pt>
                <c:pt idx="2">
                  <c:v>35.64</c:v>
                </c:pt>
                <c:pt idx="3">
                  <c:v>35.64</c:v>
                </c:pt>
                <c:pt idx="4">
                  <c:v>53.46</c:v>
                </c:pt>
                <c:pt idx="9">
                  <c:v>17.82</c:v>
                </c:pt>
                <c:pt idx="14">
                  <c:v>53.46</c:v>
                </c:pt>
                <c:pt idx="17">
                  <c:v>35.64</c:v>
                </c:pt>
                <c:pt idx="18">
                  <c:v>53.46</c:v>
                </c:pt>
                <c:pt idx="19">
                  <c:v>17.82</c:v>
                </c:pt>
                <c:pt idx="21">
                  <c:v>124.74</c:v>
                </c:pt>
                <c:pt idx="24">
                  <c:v>62.370000000000005</c:v>
                </c:pt>
                <c:pt idx="26">
                  <c:v>53.46</c:v>
                </c:pt>
                <c:pt idx="28">
                  <c:v>35.64</c:v>
                </c:pt>
                <c:pt idx="29">
                  <c:v>26.73</c:v>
                </c:pt>
                <c:pt idx="33">
                  <c:v>71.28</c:v>
                </c:pt>
              </c:numCache>
            </c:numRef>
          </c:val>
          <c:smooth val="0"/>
          <c:extLst>
            <c:ext xmlns:c16="http://schemas.microsoft.com/office/drawing/2014/chart" uri="{C3380CC4-5D6E-409C-BE32-E72D297353CC}">
              <c16:uniqueId val="{0000001B-DD96-499A-9415-E492ADD9C6AA}"/>
            </c:ext>
          </c:extLst>
        </c:ser>
        <c:ser>
          <c:idx val="2"/>
          <c:order val="2"/>
          <c:tx>
            <c:strRef>
              <c:f>TotalSales!$E$3:$E$4</c:f>
              <c:strCache>
                <c:ptCount val="1"/>
                <c:pt idx="0">
                  <c:v>Liberica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TotalSales!$E$5:$E$44</c:f>
              <c:numCache>
                <c:formatCode>#,##0</c:formatCode>
                <c:ptCount val="40"/>
                <c:pt idx="2">
                  <c:v>38.04</c:v>
                </c:pt>
                <c:pt idx="3">
                  <c:v>28.53</c:v>
                </c:pt>
                <c:pt idx="5">
                  <c:v>38.04</c:v>
                </c:pt>
                <c:pt idx="6">
                  <c:v>47.55</c:v>
                </c:pt>
                <c:pt idx="8">
                  <c:v>19.02</c:v>
                </c:pt>
                <c:pt idx="10">
                  <c:v>9.51</c:v>
                </c:pt>
                <c:pt idx="11">
                  <c:v>19.02</c:v>
                </c:pt>
                <c:pt idx="12">
                  <c:v>19.02</c:v>
                </c:pt>
                <c:pt idx="15">
                  <c:v>57.06</c:v>
                </c:pt>
                <c:pt idx="17">
                  <c:v>28.53</c:v>
                </c:pt>
                <c:pt idx="19">
                  <c:v>38.04</c:v>
                </c:pt>
                <c:pt idx="22">
                  <c:v>47.55</c:v>
                </c:pt>
                <c:pt idx="25">
                  <c:v>57.06</c:v>
                </c:pt>
                <c:pt idx="26">
                  <c:v>38.04</c:v>
                </c:pt>
                <c:pt idx="29">
                  <c:v>28.53</c:v>
                </c:pt>
                <c:pt idx="30">
                  <c:v>57.06</c:v>
                </c:pt>
                <c:pt idx="31">
                  <c:v>28.53</c:v>
                </c:pt>
                <c:pt idx="32">
                  <c:v>9.51</c:v>
                </c:pt>
                <c:pt idx="33">
                  <c:v>38.04</c:v>
                </c:pt>
                <c:pt idx="35">
                  <c:v>57.06</c:v>
                </c:pt>
                <c:pt idx="36">
                  <c:v>38.04</c:v>
                </c:pt>
              </c:numCache>
            </c:numRef>
          </c:val>
          <c:smooth val="0"/>
          <c:extLst>
            <c:ext xmlns:c16="http://schemas.microsoft.com/office/drawing/2014/chart" uri="{C3380CC4-5D6E-409C-BE32-E72D297353CC}">
              <c16:uniqueId val="{0000001C-DD96-499A-9415-E492ADD9C6AA}"/>
            </c:ext>
          </c:extLst>
        </c:ser>
        <c:ser>
          <c:idx val="3"/>
          <c:order val="3"/>
          <c:tx>
            <c:strRef>
              <c:f>TotalSales!$F$3:$F$4</c:f>
              <c:strCache>
                <c:ptCount val="1"/>
                <c:pt idx="0">
                  <c:v>Robusta</c:v>
                </c:pt>
              </c:strCache>
            </c:strRef>
          </c:tx>
          <c:spPr>
            <a:ln w="34925" cap="rnd">
              <a:solidFill>
                <a:schemeClr val="accent6">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w="9525">
                <a:solidFill>
                  <a:schemeClr val="accent6">
                    <a:lumMod val="60000"/>
                  </a:schemeClr>
                </a:solidFill>
                <a:round/>
              </a:ln>
              <a:effectLst>
                <a:outerShdw blurRad="57150" dist="19050" dir="5400000" algn="ctr" rotWithShape="0">
                  <a:srgbClr val="000000">
                    <a:alpha val="63000"/>
                  </a:srgbClr>
                </a:outerShdw>
              </a:effectLst>
            </c:spPr>
          </c:marker>
          <c:cat>
            <c:multiLvlStrRef>
              <c:f>TotalSales!$A$5:$B$44</c:f>
              <c:multiLvlStrCache>
                <c:ptCount val="40"/>
                <c:lvl>
                  <c:pt idx="0">
                    <c:v>Jan</c:v>
                  </c:pt>
                  <c:pt idx="1">
                    <c:v>Feb</c:v>
                  </c:pt>
                  <c:pt idx="2">
                    <c:v>Mar</c:v>
                  </c:pt>
                  <c:pt idx="3">
                    <c:v>Apr</c:v>
                  </c:pt>
                  <c:pt idx="4">
                    <c:v>May</c:v>
                  </c:pt>
                  <c:pt idx="5">
                    <c:v>Jun</c:v>
                  </c:pt>
                  <c:pt idx="6">
                    <c:v>Jul</c:v>
                  </c:pt>
                  <c:pt idx="7">
                    <c:v>Aug</c:v>
                  </c:pt>
                  <c:pt idx="8">
                    <c:v>Sep</c:v>
                  </c:pt>
                  <c:pt idx="9">
                    <c:v>Oct</c:v>
                  </c:pt>
                  <c:pt idx="10">
                    <c:v>Nov</c:v>
                  </c:pt>
                  <c:pt idx="11">
                    <c:v>Jan</c:v>
                  </c:pt>
                  <c:pt idx="12">
                    <c:v>Feb</c:v>
                  </c:pt>
                  <c:pt idx="13">
                    <c:v>Mar</c:v>
                  </c:pt>
                  <c:pt idx="14">
                    <c:v>Apr</c:v>
                  </c:pt>
                  <c:pt idx="15">
                    <c:v>Jun</c:v>
                  </c:pt>
                  <c:pt idx="16">
                    <c:v>Jul</c:v>
                  </c:pt>
                  <c:pt idx="17">
                    <c:v>Aug</c:v>
                  </c:pt>
                  <c:pt idx="18">
                    <c:v>Sep</c:v>
                  </c:pt>
                  <c:pt idx="19">
                    <c:v>Oct</c:v>
                  </c:pt>
                  <c:pt idx="20">
                    <c:v>Nov</c:v>
                  </c:pt>
                  <c:pt idx="21">
                    <c:v>Dec</c:v>
                  </c:pt>
                  <c:pt idx="22">
                    <c:v>Jan</c:v>
                  </c:pt>
                  <c:pt idx="23">
                    <c:v>Feb</c:v>
                  </c:pt>
                  <c:pt idx="24">
                    <c:v>Mar</c:v>
                  </c:pt>
                  <c:pt idx="25">
                    <c:v>Apr</c:v>
                  </c:pt>
                  <c:pt idx="26">
                    <c:v>May</c:v>
                  </c:pt>
                  <c:pt idx="27">
                    <c:v>Jun</c:v>
                  </c:pt>
                  <c:pt idx="28">
                    <c:v>Jul</c:v>
                  </c:pt>
                  <c:pt idx="29">
                    <c:v>Aug</c:v>
                  </c:pt>
                  <c:pt idx="30">
                    <c:v>Oct</c:v>
                  </c:pt>
                  <c:pt idx="31">
                    <c:v>Nov</c:v>
                  </c:pt>
                  <c:pt idx="32">
                    <c:v>Dec</c:v>
                  </c:pt>
                  <c:pt idx="33">
                    <c:v>Jan</c:v>
                  </c:pt>
                  <c:pt idx="34">
                    <c:v>Feb</c:v>
                  </c:pt>
                  <c:pt idx="35">
                    <c:v>Mar</c:v>
                  </c:pt>
                  <c:pt idx="36">
                    <c:v>Apr</c:v>
                  </c:pt>
                  <c:pt idx="37">
                    <c:v>May</c:v>
                  </c:pt>
                  <c:pt idx="38">
                    <c:v>Jun</c:v>
                  </c:pt>
                  <c:pt idx="39">
                    <c:v>Jul</c:v>
                  </c:pt>
                </c:lvl>
                <c:lvl>
                  <c:pt idx="0">
                    <c:v>2019</c:v>
                  </c:pt>
                  <c:pt idx="11">
                    <c:v>2020</c:v>
                  </c:pt>
                  <c:pt idx="22">
                    <c:v>2021</c:v>
                  </c:pt>
                  <c:pt idx="33">
                    <c:v>2022</c:v>
                  </c:pt>
                </c:lvl>
              </c:multiLvlStrCache>
            </c:multiLvlStrRef>
          </c:cat>
          <c:val>
            <c:numRef>
              <c:f>TotalSales!$F$5:$F$44</c:f>
              <c:numCache>
                <c:formatCode>#,##0</c:formatCode>
                <c:ptCount val="40"/>
                <c:pt idx="0">
                  <c:v>21.509999999999998</c:v>
                </c:pt>
                <c:pt idx="2">
                  <c:v>28.679999999999996</c:v>
                </c:pt>
                <c:pt idx="7">
                  <c:v>43.019999999999996</c:v>
                </c:pt>
                <c:pt idx="12">
                  <c:v>14.339999999999998</c:v>
                </c:pt>
                <c:pt idx="16">
                  <c:v>35.849999999999994</c:v>
                </c:pt>
                <c:pt idx="17">
                  <c:v>35.849999999999994</c:v>
                </c:pt>
                <c:pt idx="18">
                  <c:v>35.849999999999994</c:v>
                </c:pt>
                <c:pt idx="19">
                  <c:v>43.019999999999996</c:v>
                </c:pt>
                <c:pt idx="26">
                  <c:v>14.339999999999998</c:v>
                </c:pt>
                <c:pt idx="28">
                  <c:v>35.849999999999994</c:v>
                </c:pt>
                <c:pt idx="29">
                  <c:v>21.509999999999998</c:v>
                </c:pt>
                <c:pt idx="30">
                  <c:v>28.679999999999996</c:v>
                </c:pt>
                <c:pt idx="31">
                  <c:v>35.849999999999994</c:v>
                </c:pt>
                <c:pt idx="33">
                  <c:v>28.679999999999996</c:v>
                </c:pt>
                <c:pt idx="35">
                  <c:v>28.679999999999996</c:v>
                </c:pt>
                <c:pt idx="36">
                  <c:v>28.679999999999996</c:v>
                </c:pt>
                <c:pt idx="38">
                  <c:v>7.169999999999999</c:v>
                </c:pt>
              </c:numCache>
            </c:numRef>
          </c:val>
          <c:smooth val="0"/>
          <c:extLst>
            <c:ext xmlns:c16="http://schemas.microsoft.com/office/drawing/2014/chart" uri="{C3380CC4-5D6E-409C-BE32-E72D297353CC}">
              <c16:uniqueId val="{0000001E-DD96-499A-9415-E492ADD9C6AA}"/>
            </c:ext>
          </c:extLst>
        </c:ser>
        <c:dLbls>
          <c:showLegendKey val="0"/>
          <c:showVal val="0"/>
          <c:showCatName val="0"/>
          <c:showSerName val="0"/>
          <c:showPercent val="0"/>
          <c:showBubbleSize val="0"/>
        </c:dLbls>
        <c:marker val="1"/>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[coffeeOrdersProject.xlsx]CountryBarChart!TotalSales</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C0F8-482B-8B47-D1EC9A4F6D04}"/>
              </c:ext>
            </c:extLst>
          </c:dPt>
          <c:dPt>
            <c:idx val="1"/>
            <c:invertIfNegative val="0"/>
            <c:bubble3D val="0"/>
            <c:extLst>
              <c:ext xmlns:c16="http://schemas.microsoft.com/office/drawing/2014/chart" uri="{C3380CC4-5D6E-409C-BE32-E72D297353CC}">
                <c16:uniqueId val="{00000003-C0F8-482B-8B47-D1EC9A4F6D04}"/>
              </c:ext>
            </c:extLst>
          </c:dPt>
          <c:dPt>
            <c:idx val="2"/>
            <c:invertIfNegative val="0"/>
            <c:bubble3D val="0"/>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CountryBarChart!$A$4:$A$6</c:f>
              <c:strCache>
                <c:ptCount val="3"/>
                <c:pt idx="0">
                  <c:v>Ireland</c:v>
                </c:pt>
                <c:pt idx="1">
                  <c:v>United Kingdom</c:v>
                </c:pt>
                <c:pt idx="2">
                  <c:v>United States</c:v>
                </c:pt>
              </c:strCache>
            </c:strRef>
          </c:cat>
          <c:val>
            <c:numRef>
              <c:f>CountryBarChart!$B$4:$B$6</c:f>
              <c:numCache>
                <c:formatCode>[$$-409]#,##0</c:formatCode>
                <c:ptCount val="3"/>
                <c:pt idx="0">
                  <c:v>195</c:v>
                </c:pt>
                <c:pt idx="1">
                  <c:v>280.89</c:v>
                </c:pt>
                <c:pt idx="2">
                  <c:v>2108.1599999999994</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15"/>
        <c:overlap val="-20"/>
        <c:axId val="2125449743"/>
        <c:axId val="1703859007"/>
      </c:barChart>
      <c:catAx>
        <c:axId val="2125449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Top5Customers!$A$4:$A$8</c:f>
              <c:strCache>
                <c:ptCount val="5"/>
                <c:pt idx="0">
                  <c:v>Keefer Cake</c:v>
                </c:pt>
                <c:pt idx="1">
                  <c:v>Adriana Lazarus</c:v>
                </c:pt>
                <c:pt idx="2">
                  <c:v>Una Welberry</c:v>
                </c:pt>
                <c:pt idx="3">
                  <c:v>Raphaela Schankelborg</c:v>
                </c:pt>
                <c:pt idx="4">
                  <c:v>Nealson Cuttler</c:v>
                </c:pt>
              </c:strCache>
            </c:strRef>
          </c:cat>
          <c:val>
            <c:numRef>
              <c:f>Top5Customers!$B$4:$B$8</c:f>
              <c:numCache>
                <c:formatCode>[$$-409]#,##0</c:formatCode>
                <c:ptCount val="5"/>
                <c:pt idx="0">
                  <c:v>57.06</c:v>
                </c:pt>
                <c:pt idx="1">
                  <c:v>57.06</c:v>
                </c:pt>
                <c:pt idx="2">
                  <c:v>57.06</c:v>
                </c:pt>
                <c:pt idx="3">
                  <c:v>57.06</c:v>
                </c:pt>
                <c:pt idx="4">
                  <c:v>91.5</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15"/>
        <c:overlap val="-20"/>
        <c:axId val="2125449743"/>
        <c:axId val="1703859007"/>
      </c:barChart>
      <c:catAx>
        <c:axId val="2125449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lt1">
                  <a:lumMod val="95000"/>
                  <a:alpha val="10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chemeClr val="tx2">
            <a:lumMod val="75000"/>
          </a:schemeClr>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60158</xdr:colOff>
      <xdr:row>22</xdr:row>
      <xdr:rowOff>120315</xdr:rowOff>
    </xdr:from>
    <xdr:to>
      <xdr:col>15</xdr:col>
      <xdr:colOff>60158</xdr:colOff>
      <xdr:row>45</xdr:row>
      <xdr:rowOff>120315</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60157</xdr:colOff>
      <xdr:row>12</xdr:row>
      <xdr:rowOff>40106</xdr:rowOff>
    </xdr:from>
    <xdr:to>
      <xdr:col>18</xdr:col>
      <xdr:colOff>60157</xdr:colOff>
      <xdr:row>22</xdr:row>
      <xdr:rowOff>40106</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70446" y="1844843"/>
              <a:ext cx="9895974" cy="16844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50131</xdr:colOff>
      <xdr:row>17</xdr:row>
      <xdr:rowOff>50132</xdr:rowOff>
    </xdr:from>
    <xdr:to>
      <xdr:col>22</xdr:col>
      <xdr:colOff>50131</xdr:colOff>
      <xdr:row>22</xdr:row>
      <xdr:rowOff>50132</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166684" y="2636921"/>
              <a:ext cx="1834815" cy="9023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30080</xdr:colOff>
      <xdr:row>12</xdr:row>
      <xdr:rowOff>40106</xdr:rowOff>
    </xdr:from>
    <xdr:to>
      <xdr:col>26</xdr:col>
      <xdr:colOff>30080</xdr:colOff>
      <xdr:row>16</xdr:row>
      <xdr:rowOff>40105</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146633" y="1844843"/>
              <a:ext cx="3779921" cy="72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20053</xdr:colOff>
      <xdr:row>17</xdr:row>
      <xdr:rowOff>40105</xdr:rowOff>
    </xdr:from>
    <xdr:to>
      <xdr:col>26</xdr:col>
      <xdr:colOff>20053</xdr:colOff>
      <xdr:row>22</xdr:row>
      <xdr:rowOff>49630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81711" y="2626894"/>
              <a:ext cx="1834816" cy="911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50131</xdr:colOff>
      <xdr:row>22</xdr:row>
      <xdr:rowOff>130341</xdr:rowOff>
    </xdr:from>
    <xdr:to>
      <xdr:col>26</xdr:col>
      <xdr:colOff>50131</xdr:colOff>
      <xdr:row>32</xdr:row>
      <xdr:rowOff>149391</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54139</xdr:colOff>
      <xdr:row>33</xdr:row>
      <xdr:rowOff>5012</xdr:rowOff>
    </xdr:from>
    <xdr:to>
      <xdr:col>26</xdr:col>
      <xdr:colOff>48124</xdr:colOff>
      <xdr:row>45</xdr:row>
      <xdr:rowOff>90235</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10026</xdr:colOff>
      <xdr:row>6</xdr:row>
      <xdr:rowOff>50129</xdr:rowOff>
    </xdr:from>
    <xdr:to>
      <xdr:col>5</xdr:col>
      <xdr:colOff>263604</xdr:colOff>
      <xdr:row>11</xdr:row>
      <xdr:rowOff>168077</xdr:rowOff>
    </xdr:to>
    <xdr:sp macro="" textlink="">
      <xdr:nvSpPr>
        <xdr:cNvPr id="11" name="Rectangle: Rounded Corners 10">
          <a:extLst>
            <a:ext uri="{FF2B5EF4-FFF2-40B4-BE49-F238E27FC236}">
              <a16:creationId xmlns:a16="http://schemas.microsoft.com/office/drawing/2014/main" id="{808332C5-A950-46CC-BBAD-1199042D11D1}"/>
            </a:ext>
          </a:extLst>
        </xdr:cNvPr>
        <xdr:cNvSpPr/>
      </xdr:nvSpPr>
      <xdr:spPr>
        <a:xfrm>
          <a:off x="120315" y="892340"/>
          <a:ext cx="2700000" cy="9000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t>💰 </a:t>
          </a:r>
          <a:r>
            <a:rPr lang="en-IN" sz="1200">
              <a:solidFill>
                <a:schemeClr val="bg1"/>
              </a:solidFill>
            </a:rPr>
            <a:t>TOTAL REVENUE</a:t>
          </a:r>
        </a:p>
        <a:p>
          <a:pPr algn="l"/>
          <a:r>
            <a:rPr lang="en-IN" sz="2000" b="1">
              <a:solidFill>
                <a:schemeClr val="bg1"/>
              </a:solidFill>
            </a:rPr>
            <a:t>$45,134.26</a:t>
          </a:r>
        </a:p>
      </xdr:txBody>
    </xdr:sp>
    <xdr:clientData/>
  </xdr:twoCellAnchor>
  <xdr:twoCellAnchor>
    <xdr:from>
      <xdr:col>5</xdr:col>
      <xdr:colOff>300789</xdr:colOff>
      <xdr:row>6</xdr:row>
      <xdr:rowOff>60158</xdr:rowOff>
    </xdr:from>
    <xdr:to>
      <xdr:col>9</xdr:col>
      <xdr:colOff>554368</xdr:colOff>
      <xdr:row>11</xdr:row>
      <xdr:rowOff>178106</xdr:rowOff>
    </xdr:to>
    <xdr:sp macro="" textlink="">
      <xdr:nvSpPr>
        <xdr:cNvPr id="12" name="Rectangle: Rounded Corners 11">
          <a:extLst>
            <a:ext uri="{FF2B5EF4-FFF2-40B4-BE49-F238E27FC236}">
              <a16:creationId xmlns:a16="http://schemas.microsoft.com/office/drawing/2014/main" id="{5FE3F7CD-5470-45D5-B79A-3884604D0861}"/>
            </a:ext>
          </a:extLst>
        </xdr:cNvPr>
        <xdr:cNvSpPr/>
      </xdr:nvSpPr>
      <xdr:spPr>
        <a:xfrm>
          <a:off x="2857500" y="902369"/>
          <a:ext cx="2700000" cy="9000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 Orders</a:t>
          </a:r>
        </a:p>
        <a:p>
          <a:pPr algn="l"/>
          <a:r>
            <a:rPr lang="en-IN" sz="2000" baseline="0"/>
            <a:t>   </a:t>
          </a:r>
          <a:r>
            <a:rPr lang="en-IN" sz="2000" b="1" baseline="0"/>
            <a:t>1,000</a:t>
          </a:r>
          <a:endParaRPr lang="en-IN" sz="2000" b="1"/>
        </a:p>
      </xdr:txBody>
    </xdr:sp>
    <xdr:clientData/>
  </xdr:twoCellAnchor>
  <xdr:twoCellAnchor>
    <xdr:from>
      <xdr:col>9</xdr:col>
      <xdr:colOff>601579</xdr:colOff>
      <xdr:row>6</xdr:row>
      <xdr:rowOff>40104</xdr:rowOff>
    </xdr:from>
    <xdr:to>
      <xdr:col>14</xdr:col>
      <xdr:colOff>243553</xdr:colOff>
      <xdr:row>11</xdr:row>
      <xdr:rowOff>158052</xdr:rowOff>
    </xdr:to>
    <xdr:sp macro="" textlink="">
      <xdr:nvSpPr>
        <xdr:cNvPr id="13" name="Rectangle: Rounded Corners 12">
          <a:extLst>
            <a:ext uri="{FF2B5EF4-FFF2-40B4-BE49-F238E27FC236}">
              <a16:creationId xmlns:a16="http://schemas.microsoft.com/office/drawing/2014/main" id="{CAE4FCE4-7D31-4C57-B96D-B1AB3CE75B43}"/>
            </a:ext>
          </a:extLst>
        </xdr:cNvPr>
        <xdr:cNvSpPr/>
      </xdr:nvSpPr>
      <xdr:spPr>
        <a:xfrm>
          <a:off x="5604711" y="882315"/>
          <a:ext cx="2700000" cy="9000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bg1"/>
              </a:solidFill>
            </a:rPr>
            <a:t>👥 Customers</a:t>
          </a:r>
        </a:p>
        <a:p>
          <a:pPr algn="l"/>
          <a:r>
            <a:rPr lang="en-IN" sz="2000" b="1">
              <a:solidFill>
                <a:schemeClr val="bg1"/>
              </a:solidFill>
            </a:rPr>
            <a:t>912</a:t>
          </a:r>
        </a:p>
      </xdr:txBody>
    </xdr:sp>
    <xdr:clientData/>
  </xdr:twoCellAnchor>
  <xdr:twoCellAnchor>
    <xdr:from>
      <xdr:col>14</xdr:col>
      <xdr:colOff>310818</xdr:colOff>
      <xdr:row>6</xdr:row>
      <xdr:rowOff>20051</xdr:rowOff>
    </xdr:from>
    <xdr:to>
      <xdr:col>20</xdr:col>
      <xdr:colOff>343818</xdr:colOff>
      <xdr:row>11</xdr:row>
      <xdr:rowOff>137999</xdr:rowOff>
    </xdr:to>
    <xdr:sp macro="" textlink="">
      <xdr:nvSpPr>
        <xdr:cNvPr id="14" name="Rectangle: Rounded Corners 13">
          <a:extLst>
            <a:ext uri="{FF2B5EF4-FFF2-40B4-BE49-F238E27FC236}">
              <a16:creationId xmlns:a16="http://schemas.microsoft.com/office/drawing/2014/main" id="{B3733986-019A-491E-92DC-473D2477F161}"/>
            </a:ext>
          </a:extLst>
        </xdr:cNvPr>
        <xdr:cNvSpPr/>
      </xdr:nvSpPr>
      <xdr:spPr>
        <a:xfrm>
          <a:off x="8371976" y="862262"/>
          <a:ext cx="2700000" cy="9000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bg1"/>
              </a:solidFill>
            </a:rPr>
            <a:t>☕ Avg Order</a:t>
          </a:r>
        </a:p>
        <a:p>
          <a:pPr algn="l"/>
          <a:r>
            <a:rPr lang="en-IN" sz="1100">
              <a:solidFill>
                <a:schemeClr val="bg1"/>
              </a:solidFill>
            </a:rPr>
            <a:t> </a:t>
          </a:r>
          <a:r>
            <a:rPr lang="en-IN" sz="2400" b="1">
              <a:solidFill>
                <a:schemeClr val="bg1"/>
              </a:solidFill>
            </a:rPr>
            <a:t>$45.13</a:t>
          </a:r>
        </a:p>
      </xdr:txBody>
    </xdr:sp>
    <xdr:clientData/>
  </xdr:twoCellAnchor>
  <xdr:twoCellAnchor>
    <xdr:from>
      <xdr:col>20</xdr:col>
      <xdr:colOff>401052</xdr:colOff>
      <xdr:row>6</xdr:row>
      <xdr:rowOff>30077</xdr:rowOff>
    </xdr:from>
    <xdr:to>
      <xdr:col>25</xdr:col>
      <xdr:colOff>544342</xdr:colOff>
      <xdr:row>11</xdr:row>
      <xdr:rowOff>148025</xdr:rowOff>
    </xdr:to>
    <xdr:sp macro="" textlink="">
      <xdr:nvSpPr>
        <xdr:cNvPr id="15" name="Rectangle: Rounded Corners 14">
          <a:extLst>
            <a:ext uri="{FF2B5EF4-FFF2-40B4-BE49-F238E27FC236}">
              <a16:creationId xmlns:a16="http://schemas.microsoft.com/office/drawing/2014/main" id="{0947E894-2124-47A0-9E67-EAED7393FDA2}"/>
            </a:ext>
          </a:extLst>
        </xdr:cNvPr>
        <xdr:cNvSpPr/>
      </xdr:nvSpPr>
      <xdr:spPr>
        <a:xfrm>
          <a:off x="11129210" y="872288"/>
          <a:ext cx="2700000" cy="900000"/>
        </a:xfrm>
        <a:prstGeom prst="roundRect">
          <a:avLst/>
        </a:prstGeom>
        <a:solidFill>
          <a:schemeClr val="accent1">
            <a:lumMod val="5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200">
              <a:solidFill>
                <a:schemeClr val="bg1"/>
              </a:solidFill>
            </a:rPr>
            <a:t>☕ Best Roast</a:t>
          </a:r>
        </a:p>
        <a:p>
          <a:pPr algn="l"/>
          <a:r>
            <a:rPr lang="en-IN" sz="2000" b="1">
              <a:solidFill>
                <a:schemeClr val="bg1"/>
              </a:solidFill>
            </a:rPr>
            <a:t>Arabica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48F98-A8AC-4A65-BE6B-620A47F4C62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8">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dataField="1" showAll="0"/>
    <pivotField showAll="0"/>
    <pivotField showAll="0"/>
    <pivotField showAll="0"/>
    <pivotField showAll="0"/>
    <pivotField numFmtId="166" showAll="0"/>
    <pivotField numFmtId="167" showAll="0"/>
    <pivotField dataField="1" numFmtId="167" showAll="0"/>
    <pivotField showAll="0"/>
    <pivotField showAll="0">
      <items count="4">
        <item h="1" x="2"/>
        <item x="1"/>
        <item h="1" x="0"/>
        <item t="default"/>
      </items>
    </pivotField>
    <pivotField showAll="0"/>
    <pivotField showAll="0" defaultSubtotal="0"/>
    <pivotField showAll="0" defaultSubtotal="0">
      <items count="6">
        <item x="0"/>
        <item x="1"/>
        <item x="2"/>
        <item x="3"/>
        <item x="4"/>
        <item x="5"/>
      </items>
    </pivotField>
  </pivotFields>
  <rowItems count="1">
    <i/>
  </rowItems>
  <colFields count="1">
    <field x="-2"/>
  </colFields>
  <colItems count="3">
    <i>
      <x/>
    </i>
    <i i="1">
      <x v="1"/>
    </i>
    <i i="2">
      <x v="2"/>
    </i>
  </colItems>
  <dataFields count="3">
    <dataField name="Count of Order ID" fld="0" subtotal="count" baseField="0" baseItem="0"/>
    <dataField name="Sum of Sales" fld="12" baseField="0" baseItem="0" numFmtId="167"/>
    <dataField name="Count of Customer Name" fld="5"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4"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0">
    <i>
      <x v="1"/>
      <x v="1"/>
    </i>
    <i r="1">
      <x v="2"/>
    </i>
    <i r="1">
      <x v="3"/>
    </i>
    <i r="1">
      <x v="4"/>
    </i>
    <i r="1">
      <x v="5"/>
    </i>
    <i r="1">
      <x v="6"/>
    </i>
    <i r="1">
      <x v="7"/>
    </i>
    <i r="1">
      <x v="8"/>
    </i>
    <i r="1">
      <x v="9"/>
    </i>
    <i r="1">
      <x v="10"/>
    </i>
    <i r="1">
      <x v="11"/>
    </i>
    <i>
      <x v="2"/>
      <x v="1"/>
    </i>
    <i r="1">
      <x v="2"/>
    </i>
    <i r="1">
      <x v="3"/>
    </i>
    <i r="1">
      <x v="4"/>
    </i>
    <i r="1">
      <x v="6"/>
    </i>
    <i r="1">
      <x v="7"/>
    </i>
    <i r="1">
      <x v="8"/>
    </i>
    <i r="1">
      <x v="9"/>
    </i>
    <i r="1">
      <x v="10"/>
    </i>
    <i r="1">
      <x v="11"/>
    </i>
    <i r="1">
      <x v="12"/>
    </i>
    <i>
      <x v="3"/>
      <x v="1"/>
    </i>
    <i r="1">
      <x v="2"/>
    </i>
    <i r="1">
      <x v="3"/>
    </i>
    <i r="1">
      <x v="4"/>
    </i>
    <i r="1">
      <x v="5"/>
    </i>
    <i r="1">
      <x v="6"/>
    </i>
    <i r="1">
      <x v="7"/>
    </i>
    <i r="1">
      <x v="8"/>
    </i>
    <i r="1">
      <x v="10"/>
    </i>
    <i r="1">
      <x v="11"/>
    </i>
    <i r="1">
      <x v="12"/>
    </i>
    <i>
      <x v="4"/>
      <x v="1"/>
    </i>
    <i r="1">
      <x v="2"/>
    </i>
    <i r="1">
      <x v="3"/>
    </i>
    <i r="1">
      <x v="4"/>
    </i>
    <i r="1">
      <x v="5"/>
    </i>
    <i r="1">
      <x v="6"/>
    </i>
    <i r="1">
      <x v="7"/>
    </i>
  </rowItems>
  <colFields count="1">
    <field x="13"/>
  </colFields>
  <colItems count="4">
    <i>
      <x/>
    </i>
    <i>
      <x v="1"/>
    </i>
    <i>
      <x v="2"/>
    </i>
    <i>
      <x v="3"/>
    </i>
  </colItems>
  <dataFields count="1">
    <dataField name="Sum of Sales" fld="12" baseField="15" baseItem="2" numFmtId="3"/>
  </dataFields>
  <chartFormats count="5">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 chart="3"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h="1" x="3"/>
        <item x="1"/>
        <item h="1" x="0"/>
        <item h="1"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h="1" x="2"/>
        <item x="1"/>
        <item h="1"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490"/>
    </i>
    <i>
      <x v="13"/>
    </i>
    <i>
      <x v="855"/>
    </i>
    <i>
      <x v="717"/>
    </i>
    <i>
      <x v="646"/>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i x="1" s="1"/>
        <i x="0"/>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 tabId="24" name="PivotTable1"/>
  </pivotTables>
  <data>
    <tabular pivotCacheId="1454036779">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style="Slicer Style 2" rowHeight="241300"/>
  <slicer name="Roast Type Name" xr10:uid="{C0AED784-DA7C-4BAE-B020-67A14ACDCCF8}" cache="Slicer_Roast_Type_Name" caption="Roast Type Name" columnCount="3" style="Slicer Style 2" rowHeight="241300"/>
  <slicer name="Loyalty Card" xr10:uid="{587040DF-39A0-4B0E-BB73-DB74C34D4C4F}" cache="Slicer_Loyalty_Card" caption="Loyalty Card"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8">
  <autoFilter ref="A1:P1001" xr:uid="{E5C2A6E8-7DB2-480F-AD81-055F571EC146}"/>
  <tableColumns count="16">
    <tableColumn id="1" xr3:uid="{DF30AE40-CAC9-4CD6-8754-CA6F7DC4C264}" name="Order ID" dataDxfId="17"/>
    <tableColumn id="2" xr3:uid="{0FB86E5A-6C51-432D-A17E-0901CC53EE61}" name="Order Date" dataDxfId="16"/>
    <tableColumn id="3" xr3:uid="{6C74A95E-485F-4590-AF41-00AFC81615F8}" name="Customer ID" dataDxfId="15"/>
    <tableColumn id="4" xr3:uid="{8B6E52FD-9715-4EF4-81BB-FD1E72DBABEC}" name="Product ID"/>
    <tableColumn id="5" xr3:uid="{CED1776B-7B0B-4EC5-9E4A-B04595C9D856}" name="Quantity" dataDxfId="14"/>
    <tableColumn id="6" xr3:uid="{198F269A-7BC7-459C-9A81-615CC0BE283C}" name="Customer Name" dataDxfId="13">
      <calculatedColumnFormula>_xlfn.XLOOKUP(C2,customers!$A$1:$A$1001,customers!$B$1:$B$1001,,0)</calculatedColumnFormula>
    </tableColumn>
    <tableColumn id="7" xr3:uid="{C2352FC7-EA52-4933-B8A7-2FCB448D8F4A}" name="Email" dataDxfId="12">
      <calculatedColumnFormula>IF(_xlfn.XLOOKUP(C2,customers!$A$1:$A$1001,customers!$C$1:$C$1001,,0)=0,"",_xlfn.XLOOKUP(C2,customers!$A$1:$A$1001,customers!$C$1:$C$1001,,0))</calculatedColumnFormula>
    </tableColumn>
    <tableColumn id="8" xr3:uid="{F74E6C7D-8C12-43D7-B377-F6D4BE04DCCE}" name="Country" dataDxfId="11">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10">
      <calculatedColumnFormula>INDEX(products!$A$1:$G$49,MATCH(orders!$D2,products!$A$1:$A$49,0),MATCH(orders!K$1,products!$A$1:$G$1,0))</calculatedColumnFormula>
    </tableColumn>
    <tableColumn id="12" xr3:uid="{CB2F1618-A3EA-40D0-A357-8FB1FA821B57}" name="Unit Price" dataDxfId="9">
      <calculatedColumnFormula>INDEX(products!$A$1:$G$49,MATCH(orders!$D2,products!$A$1:$A$49,0),MATCH(orders!L$1,products!$A$1:$G$1,0))</calculatedColumnFormula>
    </tableColumn>
    <tableColumn id="13" xr3:uid="{9DBCF243-C20A-4FB7-B13C-A2976EA47F95}" name="Sales" dataDxfId="8">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7">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Custom 3">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8CC269"/>
      </a:accent6>
      <a:hlink>
        <a:srgbClr val="0563C1"/>
      </a:hlink>
      <a:folHlink>
        <a:srgbClr val="954F72"/>
      </a:folHlink>
    </a:clrScheme>
    <a:fontScheme name="Custom 1">
      <a:majorFont>
        <a:latin typeface="Calibri Light"/>
        <a:ea typeface=""/>
        <a:cs typeface=""/>
      </a:majorFont>
      <a:minorFont>
        <a:latin typeface="Calibri"/>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28T00:00:00" style="Timeline Style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76" zoomScaleNormal="59" workbookViewId="0">
      <selection activeCell="AC12" sqref="AC12"/>
    </sheetView>
  </sheetViews>
  <sheetFormatPr defaultRowHeight="14.4" x14ac:dyDescent="0.3"/>
  <cols>
    <col min="1" max="1" width="1.6640625" customWidth="1"/>
    <col min="16" max="16" width="1.6640625" customWidth="1"/>
    <col min="19" max="19" width="1.6640625" customWidth="1"/>
    <col min="23" max="23" width="1.6640625" customWidth="1"/>
  </cols>
  <sheetData>
    <row r="1" ht="5.0999999999999996" customHeight="1" x14ac:dyDescent="0.3"/>
    <row r="6" ht="5.0999999999999996" customHeight="1" x14ac:dyDescent="0.3"/>
    <row r="11" ht="5.0999999999999996" customHeight="1" x14ac:dyDescent="0.3"/>
    <row r="17" ht="5.0999999999999996"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A0A06-B1CB-4857-8EF7-236378B9018B}">
  <dimension ref="A3:D7"/>
  <sheetViews>
    <sheetView workbookViewId="0">
      <selection activeCell="B4" sqref="B4"/>
    </sheetView>
  </sheetViews>
  <sheetFormatPr defaultRowHeight="14.4" x14ac:dyDescent="0.3"/>
  <cols>
    <col min="1" max="1" width="15.88671875" bestFit="1" customWidth="1"/>
    <col min="2" max="2" width="11.6640625" bestFit="1" customWidth="1"/>
    <col min="3" max="3" width="22.6640625" bestFit="1" customWidth="1"/>
  </cols>
  <sheetData>
    <row r="3" spans="1:4" x14ac:dyDescent="0.3">
      <c r="A3" t="s">
        <v>6221</v>
      </c>
      <c r="B3" t="s">
        <v>6214</v>
      </c>
      <c r="C3" t="s">
        <v>6222</v>
      </c>
    </row>
    <row r="4" spans="1:4" x14ac:dyDescent="0.3">
      <c r="A4" s="9">
        <v>333</v>
      </c>
      <c r="B4" s="5">
        <v>17354.464999999986</v>
      </c>
      <c r="C4" s="9">
        <v>333</v>
      </c>
      <c r="D4" s="5">
        <f>B4/GETPIVOTDATA("Count of Order ID",$A$3)</f>
        <v>52.115510510510468</v>
      </c>
    </row>
    <row r="7" spans="1:4" x14ac:dyDescent="0.3">
      <c r="C7">
        <f>COUNTA(_xlfn.UNIQUE(orders!$F$2:$F$1001))-1</f>
        <v>912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4"/>
  <sheetViews>
    <sheetView topLeftCell="B1" workbookViewId="0">
      <selection activeCell="AC12" sqref="AC12"/>
    </sheetView>
  </sheetViews>
  <sheetFormatPr defaultRowHeight="14.4" x14ac:dyDescent="0.3"/>
  <cols>
    <col min="1" max="1" width="13.109375" bestFit="1" customWidth="1"/>
    <col min="2" max="2" width="20.88671875" bestFit="1" customWidth="1"/>
    <col min="3" max="3" width="18.88671875" bestFit="1" customWidth="1"/>
    <col min="4" max="4" width="7" bestFit="1" customWidth="1"/>
    <col min="5" max="5" width="7.44140625" bestFit="1" customWidth="1"/>
    <col min="6" max="6" width="7.88671875" bestFit="1" customWidth="1"/>
  </cols>
  <sheetData>
    <row r="3" spans="1:6" x14ac:dyDescent="0.3">
      <c r="A3" s="6" t="s">
        <v>6214</v>
      </c>
      <c r="C3" s="6" t="s">
        <v>6196</v>
      </c>
    </row>
    <row r="4" spans="1:6" x14ac:dyDescent="0.3">
      <c r="A4" s="6" t="s">
        <v>6208</v>
      </c>
      <c r="B4" s="6" t="s">
        <v>6209</v>
      </c>
      <c r="C4" t="s">
        <v>6210</v>
      </c>
      <c r="D4" t="s">
        <v>6211</v>
      </c>
      <c r="E4" t="s">
        <v>6212</v>
      </c>
      <c r="F4" t="s">
        <v>6213</v>
      </c>
    </row>
    <row r="5" spans="1:6" x14ac:dyDescent="0.3">
      <c r="A5" t="s">
        <v>6198</v>
      </c>
      <c r="B5" t="s">
        <v>6199</v>
      </c>
      <c r="C5" s="7"/>
      <c r="D5" s="7">
        <v>124.74000000000001</v>
      </c>
      <c r="E5" s="7"/>
      <c r="F5" s="7">
        <v>21.509999999999998</v>
      </c>
    </row>
    <row r="6" spans="1:6" x14ac:dyDescent="0.3">
      <c r="B6" t="s">
        <v>6200</v>
      </c>
      <c r="C6" s="7">
        <v>7.77</v>
      </c>
      <c r="D6" s="7">
        <v>8.91</v>
      </c>
      <c r="E6" s="7"/>
      <c r="F6" s="7"/>
    </row>
    <row r="7" spans="1:6" x14ac:dyDescent="0.3">
      <c r="B7" t="s">
        <v>6201</v>
      </c>
      <c r="C7" s="7"/>
      <c r="D7" s="7">
        <v>35.64</v>
      </c>
      <c r="E7" s="7">
        <v>38.04</v>
      </c>
      <c r="F7" s="7">
        <v>28.679999999999996</v>
      </c>
    </row>
    <row r="8" spans="1:6" x14ac:dyDescent="0.3">
      <c r="B8" t="s">
        <v>6202</v>
      </c>
      <c r="C8" s="7">
        <v>38.849999999999994</v>
      </c>
      <c r="D8" s="7">
        <v>35.64</v>
      </c>
      <c r="E8" s="7">
        <v>28.53</v>
      </c>
      <c r="F8" s="7"/>
    </row>
    <row r="9" spans="1:6" x14ac:dyDescent="0.3">
      <c r="B9" t="s">
        <v>6203</v>
      </c>
      <c r="C9" s="7"/>
      <c r="D9" s="7">
        <v>53.46</v>
      </c>
      <c r="E9" s="7"/>
      <c r="F9" s="7"/>
    </row>
    <row r="10" spans="1:6" x14ac:dyDescent="0.3">
      <c r="B10" t="s">
        <v>6217</v>
      </c>
      <c r="C10" s="7"/>
      <c r="D10" s="7"/>
      <c r="E10" s="7">
        <v>38.04</v>
      </c>
      <c r="F10" s="7"/>
    </row>
    <row r="11" spans="1:6" x14ac:dyDescent="0.3">
      <c r="B11" t="s">
        <v>6218</v>
      </c>
      <c r="C11" s="7">
        <v>23.31</v>
      </c>
      <c r="D11" s="7"/>
      <c r="E11" s="7">
        <v>47.55</v>
      </c>
      <c r="F11" s="7"/>
    </row>
    <row r="12" spans="1:6" x14ac:dyDescent="0.3">
      <c r="B12" t="s">
        <v>6215</v>
      </c>
      <c r="C12" s="7"/>
      <c r="D12" s="7"/>
      <c r="E12" s="7"/>
      <c r="F12" s="7">
        <v>43.019999999999996</v>
      </c>
    </row>
    <row r="13" spans="1:6" x14ac:dyDescent="0.3">
      <c r="B13" t="s">
        <v>6216</v>
      </c>
      <c r="C13" s="7"/>
      <c r="D13" s="7"/>
      <c r="E13" s="7">
        <v>19.02</v>
      </c>
      <c r="F13" s="7"/>
    </row>
    <row r="14" spans="1:6" x14ac:dyDescent="0.3">
      <c r="B14" t="s">
        <v>6204</v>
      </c>
      <c r="C14" s="7"/>
      <c r="D14" s="7">
        <v>17.82</v>
      </c>
      <c r="E14" s="7"/>
      <c r="F14" s="7"/>
    </row>
    <row r="15" spans="1:6" x14ac:dyDescent="0.3">
      <c r="B15" t="s">
        <v>6205</v>
      </c>
      <c r="C15" s="7"/>
      <c r="D15" s="7"/>
      <c r="E15" s="7">
        <v>9.51</v>
      </c>
      <c r="F15" s="7"/>
    </row>
    <row r="16" spans="1:6" x14ac:dyDescent="0.3">
      <c r="A16" t="s">
        <v>6207</v>
      </c>
      <c r="B16" t="s">
        <v>6199</v>
      </c>
      <c r="C16" s="7"/>
      <c r="D16" s="7"/>
      <c r="E16" s="7">
        <v>19.02</v>
      </c>
      <c r="F16" s="7"/>
    </row>
    <row r="17" spans="1:6" x14ac:dyDescent="0.3">
      <c r="B17" t="s">
        <v>6200</v>
      </c>
      <c r="C17" s="7">
        <v>15.54</v>
      </c>
      <c r="D17" s="7"/>
      <c r="E17" s="7">
        <v>19.02</v>
      </c>
      <c r="F17" s="7">
        <v>14.339999999999998</v>
      </c>
    </row>
    <row r="18" spans="1:6" x14ac:dyDescent="0.3">
      <c r="B18" t="s">
        <v>6201</v>
      </c>
      <c r="C18" s="7">
        <v>46.62</v>
      </c>
      <c r="D18" s="7"/>
      <c r="E18" s="7"/>
      <c r="F18" s="7"/>
    </row>
    <row r="19" spans="1:6" x14ac:dyDescent="0.3">
      <c r="B19" t="s">
        <v>6202</v>
      </c>
      <c r="C19" s="7"/>
      <c r="D19" s="7">
        <v>53.46</v>
      </c>
      <c r="E19" s="7"/>
      <c r="F19" s="7"/>
    </row>
    <row r="20" spans="1:6" x14ac:dyDescent="0.3">
      <c r="B20" t="s">
        <v>6217</v>
      </c>
      <c r="C20" s="7"/>
      <c r="D20" s="7"/>
      <c r="E20" s="7">
        <v>57.06</v>
      </c>
      <c r="F20" s="7"/>
    </row>
    <row r="21" spans="1:6" x14ac:dyDescent="0.3">
      <c r="B21" t="s">
        <v>6218</v>
      </c>
      <c r="C21" s="7"/>
      <c r="D21" s="7"/>
      <c r="E21" s="7"/>
      <c r="F21" s="7">
        <v>35.849999999999994</v>
      </c>
    </row>
    <row r="22" spans="1:6" x14ac:dyDescent="0.3">
      <c r="B22" t="s">
        <v>6215</v>
      </c>
      <c r="C22" s="7"/>
      <c r="D22" s="7">
        <v>35.64</v>
      </c>
      <c r="E22" s="7">
        <v>28.53</v>
      </c>
      <c r="F22" s="7">
        <v>35.849999999999994</v>
      </c>
    </row>
    <row r="23" spans="1:6" x14ac:dyDescent="0.3">
      <c r="B23" t="s">
        <v>6216</v>
      </c>
      <c r="C23" s="7"/>
      <c r="D23" s="7">
        <v>53.46</v>
      </c>
      <c r="E23" s="7"/>
      <c r="F23" s="7">
        <v>35.849999999999994</v>
      </c>
    </row>
    <row r="24" spans="1:6" x14ac:dyDescent="0.3">
      <c r="B24" t="s">
        <v>6204</v>
      </c>
      <c r="C24" s="7"/>
      <c r="D24" s="7">
        <v>17.82</v>
      </c>
      <c r="E24" s="7">
        <v>38.04</v>
      </c>
      <c r="F24" s="7">
        <v>43.019999999999996</v>
      </c>
    </row>
    <row r="25" spans="1:6" x14ac:dyDescent="0.3">
      <c r="B25" t="s">
        <v>6205</v>
      </c>
      <c r="C25" s="7">
        <v>38.849999999999994</v>
      </c>
      <c r="D25" s="7"/>
      <c r="E25" s="7"/>
      <c r="F25" s="7"/>
    </row>
    <row r="26" spans="1:6" x14ac:dyDescent="0.3">
      <c r="B26" t="s">
        <v>6206</v>
      </c>
      <c r="C26" s="7"/>
      <c r="D26" s="7">
        <v>124.74</v>
      </c>
      <c r="E26" s="7"/>
      <c r="F26" s="7"/>
    </row>
    <row r="27" spans="1:6" x14ac:dyDescent="0.3">
      <c r="A27" t="s">
        <v>6219</v>
      </c>
      <c r="B27" t="s">
        <v>6199</v>
      </c>
      <c r="C27" s="7">
        <v>23.31</v>
      </c>
      <c r="D27" s="7"/>
      <c r="E27" s="7">
        <v>47.55</v>
      </c>
      <c r="F27" s="7"/>
    </row>
    <row r="28" spans="1:6" x14ac:dyDescent="0.3">
      <c r="B28" t="s">
        <v>6200</v>
      </c>
      <c r="C28" s="7">
        <v>85.47</v>
      </c>
      <c r="D28" s="7"/>
      <c r="E28" s="7"/>
      <c r="F28" s="7"/>
    </row>
    <row r="29" spans="1:6" x14ac:dyDescent="0.3">
      <c r="B29" t="s">
        <v>6201</v>
      </c>
      <c r="C29" s="7"/>
      <c r="D29" s="7">
        <v>62.370000000000005</v>
      </c>
      <c r="E29" s="7"/>
      <c r="F29" s="7"/>
    </row>
    <row r="30" spans="1:6" x14ac:dyDescent="0.3">
      <c r="B30" t="s">
        <v>6202</v>
      </c>
      <c r="C30" s="7"/>
      <c r="D30" s="7"/>
      <c r="E30" s="7">
        <v>57.06</v>
      </c>
      <c r="F30" s="7"/>
    </row>
    <row r="31" spans="1:6" x14ac:dyDescent="0.3">
      <c r="B31" t="s">
        <v>6203</v>
      </c>
      <c r="C31" s="7">
        <v>23.31</v>
      </c>
      <c r="D31" s="7">
        <v>53.46</v>
      </c>
      <c r="E31" s="7">
        <v>38.04</v>
      </c>
      <c r="F31" s="7">
        <v>14.339999999999998</v>
      </c>
    </row>
    <row r="32" spans="1:6" x14ac:dyDescent="0.3">
      <c r="B32" t="s">
        <v>6217</v>
      </c>
      <c r="C32" s="7">
        <v>23.31</v>
      </c>
      <c r="D32" s="7"/>
      <c r="E32" s="7"/>
      <c r="F32" s="7"/>
    </row>
    <row r="33" spans="1:6" x14ac:dyDescent="0.3">
      <c r="B33" t="s">
        <v>6218</v>
      </c>
      <c r="C33" s="7">
        <v>31.08</v>
      </c>
      <c r="D33" s="7">
        <v>35.64</v>
      </c>
      <c r="E33" s="7"/>
      <c r="F33" s="7">
        <v>35.849999999999994</v>
      </c>
    </row>
    <row r="34" spans="1:6" x14ac:dyDescent="0.3">
      <c r="B34" t="s">
        <v>6215</v>
      </c>
      <c r="C34" s="7"/>
      <c r="D34" s="7">
        <v>26.73</v>
      </c>
      <c r="E34" s="7">
        <v>28.53</v>
      </c>
      <c r="F34" s="7">
        <v>21.509999999999998</v>
      </c>
    </row>
    <row r="35" spans="1:6" x14ac:dyDescent="0.3">
      <c r="B35" t="s">
        <v>6204</v>
      </c>
      <c r="C35" s="7"/>
      <c r="D35" s="7"/>
      <c r="E35" s="7">
        <v>57.06</v>
      </c>
      <c r="F35" s="7">
        <v>28.679999999999996</v>
      </c>
    </row>
    <row r="36" spans="1:6" x14ac:dyDescent="0.3">
      <c r="B36" t="s">
        <v>6205</v>
      </c>
      <c r="C36" s="7"/>
      <c r="D36" s="7"/>
      <c r="E36" s="7">
        <v>28.53</v>
      </c>
      <c r="F36" s="7">
        <v>35.849999999999994</v>
      </c>
    </row>
    <row r="37" spans="1:6" x14ac:dyDescent="0.3">
      <c r="B37" t="s">
        <v>6206</v>
      </c>
      <c r="C37" s="7"/>
      <c r="D37" s="7"/>
      <c r="E37" s="7">
        <v>9.51</v>
      </c>
      <c r="F37" s="7"/>
    </row>
    <row r="38" spans="1:6" x14ac:dyDescent="0.3">
      <c r="A38" t="s">
        <v>6220</v>
      </c>
      <c r="B38" t="s">
        <v>6199</v>
      </c>
      <c r="C38" s="7">
        <v>23.31</v>
      </c>
      <c r="D38" s="7">
        <v>71.28</v>
      </c>
      <c r="E38" s="7">
        <v>38.04</v>
      </c>
      <c r="F38" s="7">
        <v>28.679999999999996</v>
      </c>
    </row>
    <row r="39" spans="1:6" x14ac:dyDescent="0.3">
      <c r="B39" t="s">
        <v>6200</v>
      </c>
      <c r="C39" s="7">
        <v>23.31</v>
      </c>
      <c r="D39" s="7"/>
      <c r="E39" s="7"/>
      <c r="F39" s="7"/>
    </row>
    <row r="40" spans="1:6" x14ac:dyDescent="0.3">
      <c r="B40" t="s">
        <v>6201</v>
      </c>
      <c r="C40" s="7"/>
      <c r="D40" s="7"/>
      <c r="E40" s="7">
        <v>57.06</v>
      </c>
      <c r="F40" s="7">
        <v>28.679999999999996</v>
      </c>
    </row>
    <row r="41" spans="1:6" x14ac:dyDescent="0.3">
      <c r="B41" t="s">
        <v>6202</v>
      </c>
      <c r="C41" s="7">
        <v>15.54</v>
      </c>
      <c r="D41" s="7"/>
      <c r="E41" s="7">
        <v>38.04</v>
      </c>
      <c r="F41" s="7">
        <v>28.679999999999996</v>
      </c>
    </row>
    <row r="42" spans="1:6" x14ac:dyDescent="0.3">
      <c r="B42" t="s">
        <v>6203</v>
      </c>
      <c r="C42" s="7">
        <v>46.62</v>
      </c>
      <c r="D42" s="7"/>
      <c r="E42" s="7"/>
      <c r="F42" s="7"/>
    </row>
    <row r="43" spans="1:6" x14ac:dyDescent="0.3">
      <c r="B43" t="s">
        <v>6217</v>
      </c>
      <c r="C43" s="7">
        <v>46.62</v>
      </c>
      <c r="D43" s="7"/>
      <c r="E43" s="7"/>
      <c r="F43" s="7">
        <v>7.169999999999999</v>
      </c>
    </row>
    <row r="44" spans="1:6" x14ac:dyDescent="0.3">
      <c r="B44" t="s">
        <v>6218</v>
      </c>
      <c r="C44" s="7">
        <v>31.08</v>
      </c>
      <c r="D44" s="7"/>
      <c r="E44" s="7"/>
      <c r="F44"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B5" sqref="B5"/>
    </sheetView>
  </sheetViews>
  <sheetFormatPr defaultRowHeight="14.4" x14ac:dyDescent="0.3"/>
  <cols>
    <col min="1" max="1" width="14" bestFit="1" customWidth="1"/>
    <col min="2" max="2" width="11.6640625" bestFit="1" customWidth="1"/>
    <col min="3" max="3" width="15.88671875" bestFit="1" customWidth="1"/>
    <col min="4" max="4" width="7.88671875" bestFit="1" customWidth="1"/>
    <col min="5" max="6" width="8.109375" bestFit="1" customWidth="1"/>
  </cols>
  <sheetData>
    <row r="3" spans="1:2" x14ac:dyDescent="0.3">
      <c r="A3" s="6" t="s">
        <v>7</v>
      </c>
      <c r="B3" t="s">
        <v>6214</v>
      </c>
    </row>
    <row r="4" spans="1:2" x14ac:dyDescent="0.3">
      <c r="A4" t="s">
        <v>318</v>
      </c>
      <c r="B4" s="8">
        <v>195</v>
      </c>
    </row>
    <row r="5" spans="1:2" x14ac:dyDescent="0.3">
      <c r="A5" t="s">
        <v>28</v>
      </c>
      <c r="B5" s="8">
        <v>280.89</v>
      </c>
    </row>
    <row r="6" spans="1:2" x14ac:dyDescent="0.3">
      <c r="A6" t="s">
        <v>19</v>
      </c>
      <c r="B6" s="8">
        <v>2108.1599999999994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4" x14ac:dyDescent="0.3"/>
  <cols>
    <col min="1" max="1" width="20" bestFit="1" customWidth="1"/>
    <col min="2" max="2" width="11.6640625" bestFit="1" customWidth="1"/>
    <col min="3" max="3" width="7.44140625" bestFit="1" customWidth="1"/>
    <col min="4" max="4" width="7.88671875" bestFit="1" customWidth="1"/>
    <col min="5" max="6" width="8.109375" bestFit="1" customWidth="1"/>
  </cols>
  <sheetData>
    <row r="3" spans="1:2" x14ac:dyDescent="0.3">
      <c r="A3" s="6" t="s">
        <v>4</v>
      </c>
      <c r="B3" t="s">
        <v>6214</v>
      </c>
    </row>
    <row r="4" spans="1:2" x14ac:dyDescent="0.3">
      <c r="A4" t="s">
        <v>3227</v>
      </c>
      <c r="B4" s="8">
        <v>57.06</v>
      </c>
    </row>
    <row r="5" spans="1:2" x14ac:dyDescent="0.3">
      <c r="A5" t="s">
        <v>1623</v>
      </c>
      <c r="B5" s="8">
        <v>57.06</v>
      </c>
    </row>
    <row r="6" spans="1:2" x14ac:dyDescent="0.3">
      <c r="A6" t="s">
        <v>683</v>
      </c>
      <c r="B6" s="8">
        <v>57.06</v>
      </c>
    </row>
    <row r="7" spans="1:2" x14ac:dyDescent="0.3">
      <c r="A7" t="s">
        <v>5545</v>
      </c>
      <c r="B7" s="8">
        <v>57.06</v>
      </c>
    </row>
    <row r="8" spans="1:2" x14ac:dyDescent="0.3">
      <c r="A8" t="s">
        <v>1598</v>
      </c>
      <c r="B8" s="8">
        <v>91.5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N3" sqref="N3"/>
    </sheetView>
  </sheetViews>
  <sheetFormatPr defaultRowHeight="14.4" x14ac:dyDescent="0.3"/>
  <cols>
    <col min="1" max="1" width="16.5546875" bestFit="1" customWidth="1"/>
    <col min="2" max="2" width="13" bestFit="1" customWidth="1"/>
    <col min="3" max="3" width="17.44140625" bestFit="1" customWidth="1"/>
    <col min="4" max="4" width="12" customWidth="1"/>
    <col min="5" max="5" width="10.44140625" customWidth="1"/>
    <col min="6" max="6" width="23.6640625" bestFit="1" customWidth="1"/>
    <col min="7" max="7" width="39.44140625" bestFit="1" customWidth="1"/>
    <col min="8" max="8" width="12.88671875" bestFit="1" customWidth="1"/>
    <col min="9" max="9" width="13.109375" customWidth="1"/>
    <col min="10" max="10" width="12.44140625" customWidth="1"/>
    <col min="11" max="11" width="6.33203125" bestFit="1" customWidth="1"/>
    <col min="12" max="12" width="11.33203125" customWidth="1"/>
    <col min="13" max="13" width="10.5546875" customWidth="1"/>
    <col min="14" max="14" width="18.88671875" customWidth="1"/>
    <col min="15" max="15" width="18.109375" customWidth="1"/>
    <col min="16" max="16" width="14"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Sheet1</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sravalik@gmail.com</cp:lastModifiedBy>
  <cp:revision/>
  <dcterms:created xsi:type="dcterms:W3CDTF">2022-11-26T09:51:45Z</dcterms:created>
  <dcterms:modified xsi:type="dcterms:W3CDTF">2026-06-18T15:26:09Z</dcterms:modified>
  <cp:category/>
  <cp:contentStatus/>
</cp:coreProperties>
</file>